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2023" sheetId="1" r:id="rId4"/>
    <sheet state="visible" name="TRANG" sheetId="2" r:id="rId5"/>
    <sheet state="visible" name="Giá màng " sheetId="3" r:id="rId6"/>
  </sheets>
  <definedNames/>
  <calcPr/>
  <extLst>
    <ext uri="GoogleSheetsCustomDataVersion2">
      <go:sheetsCustomData xmlns:go="http://customooxmlschemas.google.com/" r:id="rId7" roundtripDataChecksum="YwjGKRG3oJFvUdi1ScuNXavUPC5MUe5VdycpQPKYEz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6">
      <text>
        <t xml:space="preserve">vd 20.000đ/ thùng đựng 2000 túi
======</t>
      </text>
    </comment>
    <comment authorId="0" ref="M66">
      <text>
        <t xml:space="preserve">vc 30km x giá 20/km
======</t>
      </text>
    </comment>
    <comment authorId="0" ref="H69">
      <text>
        <t xml:space="preserve">theo công thức
======</t>
      </text>
    </comment>
    <comment authorId="0" ref="K69">
      <text>
        <t xml:space="preserve">cột này em cho cố định
======</t>
      </text>
    </comment>
    <comment authorId="0" ref="P69">
      <text>
        <t xml:space="preserve">nhập đại 1 số cho lợi nhuận
======</t>
      </text>
    </comment>
    <comment authorId="0" ref="M49">
      <text>
        <t xml:space="preserve">======
ID#AAAB1s8LPjk
    (2026-03-13 07:35:36)
lót màng ngọc khổ 40mm
mét x giá x khổ 0.04 
băng keo 200đ/m
mét x 200đ x 105%</t>
      </text>
    </comment>
    <comment authorId="0" ref="E77">
      <text>
        <t xml:space="preserve">======
ID#AAAB1s8LPjg
    (2026-03-13 07:35:36)
thùng đựng 3 lớp giá 12.744
thùng đựng 5 lớp tùy kích thước,thông thường = 18.000</t>
      </text>
    </comment>
    <comment authorId="0" ref="E98">
      <text>
        <t xml:space="preserve">======
ID#AAAB1s8LPjc
    (2026-03-13 07:35:36)
thùng đựng 3 lớp giá 12.744
thùng đựng 5 lớp tùy kích thước,thông thường = 18.000</t>
      </text>
    </comment>
    <comment authorId="0" ref="E53">
      <text>
        <t xml:space="preserve">======
ID#AAAB1s8LPjY
    (2026-03-13 07:35:36)
thùng đựng 3 lớp giá 12.744
thùng đựng 5 lớp tùy kích thước,thông thường = 18.000</t>
      </text>
    </comment>
  </commentList>
  <extLst>
    <ext uri="GoogleSheetsCustomDataVersion2">
      <go:sheetsCustomData xmlns:go="http://customooxmlschemas.google.com/" r:id="rId1" roundtripDataSignature="AMtx7mg80WMwYCSMsB3GfvUOhNtc7Elw4w=="/>
    </ext>
  </extLst>
</comments>
</file>

<file path=xl/sharedStrings.xml><?xml version="1.0" encoding="utf-8"?>
<sst xmlns="http://schemas.openxmlformats.org/spreadsheetml/2006/main" count="438" uniqueCount="222">
  <si>
    <t xml:space="preserve">CTY CP LAI TRƯỜNG SƠN </t>
  </si>
  <si>
    <t xml:space="preserve">CƠ SỞ TÍNH GIÁ BÁN TÚI </t>
  </si>
  <si>
    <t>LỢI NHUẬN CHO KHÁCH HÀNG SEN VIỆT và LƯƠNG GIA</t>
  </si>
  <si>
    <t xml:space="preserve"> </t>
  </si>
  <si>
    <t>KHÁCH HÀNG KHÁC thì LN + 3%</t>
  </si>
  <si>
    <r>
      <rPr>
        <rFont val="Arial"/>
        <b/>
        <color rgb="FF000000"/>
        <sz val="12.0"/>
      </rPr>
      <t xml:space="preserve">GIÁ NGUYÊN LIỆU CẬP NHẬT HÀNG NGÀY 
</t>
    </r>
    <r>
      <rPr>
        <rFont val="Arial"/>
        <b/>
        <color rgb="FF000000"/>
        <sz val="10.0"/>
      </rPr>
      <t xml:space="preserve">
****THÙY và TRANG****</t>
    </r>
  </si>
  <si>
    <t>CHI PHÍ SẢN XUẤT</t>
  </si>
  <si>
    <t>Sản lượng
 tháng</t>
  </si>
  <si>
    <t>Chi Phí</t>
  </si>
  <si>
    <t>Tổng chi phí
2023</t>
  </si>
  <si>
    <t>Giá Vốn</t>
  </si>
  <si>
    <t>Túi 3,4 biên, 
màng ghép: 2 lớp</t>
  </si>
  <si>
    <t>Túi zipper, Đáy đứng, MPET,AL, giấy, màng ghép 3 lớp..</t>
  </si>
  <si>
    <t>Stt</t>
  </si>
  <si>
    <t xml:space="preserve">MÀNG </t>
  </si>
  <si>
    <t>Tỉ trọng</t>
  </si>
  <si>
    <t>Độ dầy</t>
  </si>
  <si>
    <t>Giá(Chua Vat)</t>
  </si>
  <si>
    <t>CPSX IN + CHIA</t>
  </si>
  <si>
    <t>dưới  9,9tr</t>
  </si>
  <si>
    <t>Chi Phí chung</t>
  </si>
  <si>
    <t>Số lượng</t>
  </si>
  <si>
    <t>Tổng chi phí</t>
  </si>
  <si>
    <t>(gr/m2)</t>
  </si>
  <si>
    <t>mic</t>
  </si>
  <si>
    <t>vnd/ kg</t>
  </si>
  <si>
    <t>vnd/m2</t>
  </si>
  <si>
    <t>CPSX GHÉP L1</t>
  </si>
  <si>
    <t>10.000.000-19.000.000</t>
  </si>
  <si>
    <t>Kế Toán trưởng</t>
  </si>
  <si>
    <t>PET</t>
  </si>
  <si>
    <t>CPSX GHÉP L2</t>
  </si>
  <si>
    <t>20.000.000-30.000.000</t>
  </si>
  <si>
    <t>Bảo vệ</t>
  </si>
  <si>
    <t>PA</t>
  </si>
  <si>
    <t>CPSX CẮT L1</t>
  </si>
  <si>
    <t>31.000.000-40.000.000</t>
  </si>
  <si>
    <t>Thủ kho + xe nâng</t>
  </si>
  <si>
    <t>MPET</t>
  </si>
  <si>
    <t>CPSX CẮT L2</t>
  </si>
  <si>
    <t>41.000.000-60.000.000</t>
  </si>
  <si>
    <t>Tài xế xe tải + dầu</t>
  </si>
  <si>
    <t>CPP 25</t>
  </si>
  <si>
    <t>61.000.000-80.000.000</t>
  </si>
  <si>
    <t>CP Quan Li+CP khac</t>
  </si>
  <si>
    <t>CPP 50</t>
  </si>
  <si>
    <t>81.000.000-100.000.000</t>
  </si>
  <si>
    <t xml:space="preserve">Kinh doanh </t>
  </si>
  <si>
    <t>LLDPE</t>
  </si>
  <si>
    <r>
      <rPr>
        <rFont val="Arial"/>
        <b/>
        <i/>
        <color rgb="FFFFFFFF"/>
        <sz val="10.0"/>
      </rPr>
      <t>Vận chuyển (bán kính trên 30km)</t>
    </r>
    <r>
      <rPr>
        <rFont val="Arial"/>
        <b/>
        <i/>
        <color rgb="FFFFFFFF"/>
        <sz val="10.0"/>
      </rPr>
      <t xml:space="preserve"> : khách 50%,cty 50%</t>
    </r>
  </si>
  <si>
    <t>101.000.000-150.000.000</t>
  </si>
  <si>
    <t>CPSX MÁY IN + CHIA</t>
  </si>
  <si>
    <t xml:space="preserve">LLDPE sữa </t>
  </si>
  <si>
    <r>
      <rPr>
        <rFont val="Arial"/>
        <b/>
        <i/>
        <color rgb="FFFFFFFF"/>
        <sz val="10.0"/>
      </rPr>
      <t xml:space="preserve">Chi phí thùng giấy </t>
    </r>
    <r>
      <rPr>
        <rFont val="Arial"/>
        <b/>
        <i/>
        <color rgb="FFFFFFFF"/>
        <sz val="10.0"/>
      </rPr>
      <t xml:space="preserve">: tính giá thùng chia cho số túi trong thùng </t>
    </r>
  </si>
  <si>
    <t>151.000.000-200.000.000</t>
  </si>
  <si>
    <t>Quản lí</t>
  </si>
  <si>
    <t>AL</t>
  </si>
  <si>
    <r>
      <rPr>
        <rFont val="Arial"/>
        <b/>
        <i/>
        <color rgb="FFFFFFFF"/>
        <sz val="10.0"/>
      </rPr>
      <t>Lãi vay</t>
    </r>
    <r>
      <rPr>
        <rFont val="Arial"/>
        <b/>
        <i/>
        <color rgb="FFFFFFFF"/>
        <sz val="10.0"/>
      </rPr>
      <t xml:space="preserve"> : Lãi vay 0.85%/ 30 ngày, nếu tt quá hạn n+30 ngày thì trừ tiền hoa hồng của sale</t>
    </r>
  </si>
  <si>
    <t>Thợ</t>
  </si>
  <si>
    <t>Bopp 18 mic</t>
  </si>
  <si>
    <r>
      <rPr>
        <rFont val="Arial"/>
        <b/>
        <i/>
        <color rgb="FFFFFFFF"/>
        <sz val="10.0"/>
      </rPr>
      <t>Hoa Hồng bán hàng</t>
    </r>
    <r>
      <rPr>
        <rFont val="Arial"/>
        <b/>
        <i/>
        <color rgb="FFFFFFFF"/>
        <sz val="10.0"/>
      </rPr>
      <t xml:space="preserve"> : tính vào giá bán tối đa 5%, nếu vượt quá 5% phải có cấp trên đồng ý</t>
    </r>
  </si>
  <si>
    <t>Phụ</t>
  </si>
  <si>
    <t>Bopp 20 mic</t>
  </si>
  <si>
    <r>
      <rPr>
        <rFont val="Arial"/>
        <b/>
        <i/>
        <color rgb="FFFFFFFF"/>
        <sz val="10.0"/>
      </rPr>
      <t>Chi phí dây zipper:</t>
    </r>
    <r>
      <rPr>
        <rFont val="Arial"/>
        <b/>
        <i/>
        <color rgb="FFFFFFFF"/>
        <sz val="10.0"/>
      </rPr>
      <t xml:space="preserve"> tính theo phi hao máy cắt</t>
    </r>
  </si>
  <si>
    <t>Mặt bằng</t>
  </si>
  <si>
    <t>Bopp 30 mic</t>
  </si>
  <si>
    <r>
      <rPr>
        <rFont val="Arial"/>
        <b/>
        <i/>
        <color rgb="FFFFFFFF"/>
        <sz val="10.0"/>
      </rPr>
      <t>Màng PE cho túi Gạo 3 biên và 4 biên dưới 4kg</t>
    </r>
    <r>
      <rPr>
        <rFont val="Arial"/>
        <b/>
        <i/>
        <color rgb="FFFFFFFF"/>
        <sz val="10.0"/>
      </rPr>
      <t xml:space="preserve"> : sử dụng loại PE thường </t>
    </r>
  </si>
  <si>
    <t>Khau hao máy 5ty/84 thang</t>
  </si>
  <si>
    <t>Matt BOPP 20mic</t>
  </si>
  <si>
    <r>
      <rPr>
        <rFont val="Arial"/>
        <b/>
        <color rgb="FFFFFFFF"/>
        <sz val="10.0"/>
      </rPr>
      <t>Hoa hồng được tính</t>
    </r>
    <r>
      <rPr>
        <rFont val="Arial"/>
        <b/>
        <color rgb="FFFFFFFF"/>
        <sz val="10.0"/>
      </rPr>
      <t xml:space="preserve"> </t>
    </r>
    <r>
      <rPr>
        <rFont val="Arial"/>
        <b/>
        <color rgb="FFFFFFFF"/>
        <sz val="10.0"/>
      </rPr>
      <t xml:space="preserve">sau khí khách trả tiền </t>
    </r>
  </si>
  <si>
    <t>Điện</t>
  </si>
  <si>
    <t>Màng ngọc 30-40</t>
  </si>
  <si>
    <t>GIÁ NGUYÊN LIỆU ( Cập nhật theo thời điểm tính giá), Thuy cập nhật giá vào file nầy 1 tuần 1 lần vào sáng thứ 2</t>
  </si>
  <si>
    <t>Phụ chia</t>
  </si>
  <si>
    <t>Màng ngọc 60-110</t>
  </si>
  <si>
    <t>Phan Bo CP chung</t>
  </si>
  <si>
    <t>MCPP 25</t>
  </si>
  <si>
    <t>CPSX MÁY GHÉP</t>
  </si>
  <si>
    <t>Zipper</t>
  </si>
  <si>
    <t>Khau hao</t>
  </si>
  <si>
    <t>Chỉ nhập giá vào cột E</t>
  </si>
  <si>
    <t xml:space="preserve">Nhập thêm từ hàng 25 </t>
  </si>
  <si>
    <t>TRANG CHỈ SỬA TRÊN FILE TÍNH GIÁ CỦA TRANG TRONG BẢNG TÍNH 
- tỉ trọng màng ngọc sai (đang dùng của sanchao 0,604)
- chỗ ghép lần 2 thêm giá trị 0 =&gt; cảnh báo chứ ko bắt buộc ko cho nhập gt khác (đã sửa)
- chi phí sản xuất in sai: giá OPP in cao hơn PET 
đã sửa lại: =C50*IF(E46="PET 12";135;if(E46="PA 15";135;120))*C56+318+C51
- cột lợi nhuận áp sai: túi ko phải zipper nhưng áp cột ln zipper dành cho SV và LG
=&gt; lợi nhuận cột 1 hoặc 2 dành cho túi thường /zip: cột 1: bấm số 1,cột 2: bất kỳ
- bổ sung giá màng ngọc + băng keo trong cột giá màng (đã tự bổ sung)
-chi phí zipper không được tính trong chỗ giá vốn sản phẩm? Em có tính 2 bảng so sánh giá
chỉ cần nhập số lượng  30,000 ,40.000, 60,000, 80,000, 100.000 hoặc 150.000 hoặc bất kì
-đã cài lại công thức giá trục chu vi tối đa 5 con hình, giá trục bán ra đang để 7tr3,
 bỏ giá trục in/số túi ra khỏi giá bán túi
-vận chuyển chưa thấy để số km vào nếu giao hàng tỉnh xa cty thiệt hại.
-chỗ thành tiền màng =&gt; giá màng VNĐ/m2</t>
  </si>
  <si>
    <t>CPSX MÁY CẮT</t>
  </si>
  <si>
    <t>Thợ chính</t>
  </si>
  <si>
    <t>Thợ phụ</t>
  </si>
  <si>
    <t>Điện cắt</t>
  </si>
  <si>
    <t>TRANG: bất cập: giá bao bì biến động liên tục, nếu chỉ dùng 1 bảng data 2023:
 giá túi đã mua vật tư sx xong, nhưng thay đổi để tính 1 loại khác có cùng chất liệu
=&gt; giá túi  đã sx xong cũng thay đổi theo.</t>
  </si>
  <si>
    <t>21/03/2023 TRANG</t>
  </si>
  <si>
    <t>KHÔNG CÓ TÍNH GIÁ CHO 2 CON HÌNH / 3 CON HÌNH</t>
  </si>
  <si>
    <t xml:space="preserve">TRỌNG LƯỢNG CHỈ DỰA VÀO TỈ TRỌNG MÀNG PE CHỨ KO PHẢI THEO TỈ TRỌNG CÁC LOẠI MÀNG </t>
  </si>
  <si>
    <t>THÊM DÒNG GIÁ PE CHO NCC VĨNH PHÁT / BNC</t>
  </si>
  <si>
    <t>PET phủ mờ</t>
  </si>
  <si>
    <t>PA có in/ ko in</t>
  </si>
  <si>
    <t>TRANG</t>
  </si>
  <si>
    <t xml:space="preserve">Ngày báo giá </t>
  </si>
  <si>
    <t>&lt;50000m</t>
  </si>
  <si>
    <t>&gt;50000</t>
  </si>
  <si>
    <t>mafu</t>
  </si>
  <si>
    <t>set up</t>
  </si>
  <si>
    <t xml:space="preserve">mafng TP/6000*40 </t>
  </si>
  <si>
    <t>+tp/50000*400</t>
  </si>
  <si>
    <t>nt</t>
  </si>
  <si>
    <t>kích thước</t>
  </si>
  <si>
    <t>R145 x (D215 +Đ 50)</t>
  </si>
  <si>
    <t xml:space="preserve">Khách hàng </t>
  </si>
  <si>
    <t>a</t>
  </si>
  <si>
    <t>Khổ trãi</t>
  </si>
  <si>
    <t>Bước cắt</t>
  </si>
  <si>
    <t>Diện tích 
 1 túi m2</t>
  </si>
  <si>
    <t>Tổng DT 
đơn hàng</t>
  </si>
  <si>
    <t>Khổ màng in
thành phẩm</t>
  </si>
  <si>
    <t>Dài màng 
thành phẩm</t>
  </si>
  <si>
    <t>Giá vốn</t>
  </si>
  <si>
    <t xml:space="preserve">Truc in </t>
  </si>
  <si>
    <t>Thùng giấy</t>
  </si>
  <si>
    <t>Vận chuyển</t>
  </si>
  <si>
    <t>Lãi vay</t>
  </si>
  <si>
    <t>Hoa hồng</t>
  </si>
  <si>
    <t>Giá cuối</t>
  </si>
  <si>
    <t>Giá bán chốt</t>
  </si>
  <si>
    <t>&lt;</t>
  </si>
  <si>
    <t>Tên hàng</t>
  </si>
  <si>
    <t>ab</t>
  </si>
  <si>
    <t>m</t>
  </si>
  <si>
    <t>m2</t>
  </si>
  <si>
    <t>túi</t>
  </si>
  <si>
    <t>Chưa VAT</t>
  </si>
  <si>
    <t>Số lượng TP</t>
  </si>
  <si>
    <t>Cấu trúc</t>
  </si>
  <si>
    <t>PET12//PE120</t>
  </si>
  <si>
    <t>HẠN MỤC
 CPSX</t>
  </si>
  <si>
    <t>MÀNG NL</t>
  </si>
  <si>
    <t>Khổ 
 màng</t>
  </si>
  <si>
    <t>Số mét 
bán TP</t>
  </si>
  <si>
    <t>Phi hao</t>
  </si>
  <si>
    <t>Giá màng
vnd/kg</t>
  </si>
  <si>
    <t>Thành tiền
  màng (vnd/m2)</t>
  </si>
  <si>
    <t>Chi phí
sản xuất</t>
  </si>
  <si>
    <t>Thành tiền 
 CPSX</t>
  </si>
  <si>
    <t>Giá màng 
In và ghép</t>
  </si>
  <si>
    <t xml:space="preserve">Giá vốn </t>
  </si>
  <si>
    <t>Tổng 
giá vốn</t>
  </si>
  <si>
    <t>LN</t>
  </si>
  <si>
    <t>Doanh Thu</t>
  </si>
  <si>
    <t>Độ dầy (mic)</t>
  </si>
  <si>
    <t>CPSX IN</t>
  </si>
  <si>
    <t>Quai (0gr-7.2gr)</t>
  </si>
  <si>
    <t>GHÉP LẦN 1</t>
  </si>
  <si>
    <t>Khổ trãi (m)</t>
  </si>
  <si>
    <t>GHÉP LẦN 2</t>
  </si>
  <si>
    <t>Bước cắt (m)</t>
  </si>
  <si>
    <t>CPSX CẮT</t>
  </si>
  <si>
    <t>&gt;</t>
  </si>
  <si>
    <t>600tr</t>
  </si>
  <si>
    <t>Số màu in</t>
  </si>
  <si>
    <t>lợi nhuận cột 1 hoặc 2</t>
  </si>
  <si>
    <t>Màu nhũ/mờ =200</t>
  </si>
  <si>
    <t>HẠN MỤC</t>
  </si>
  <si>
    <t>ĐVT</t>
  </si>
  <si>
    <t>Giá</t>
  </si>
  <si>
    <t xml:space="preserve">Thành tiền </t>
  </si>
  <si>
    <t xml:space="preserve">Zipper= 360/m
</t>
  </si>
  <si>
    <t>trục</t>
  </si>
  <si>
    <t>Tare (gr/cai)</t>
  </si>
  <si>
    <t>thùng</t>
  </si>
  <si>
    <t>Giá bán (chưa VAT)</t>
  </si>
  <si>
    <t>tấn</t>
  </si>
  <si>
    <t>Thời gian sản xuất ( day)</t>
  </si>
  <si>
    <t>ngày</t>
  </si>
  <si>
    <t>in</t>
  </si>
  <si>
    <t xml:space="preserve">Tỉ lệ phủ mực in </t>
  </si>
  <si>
    <t>cái</t>
  </si>
  <si>
    <t>ghép</t>
  </si>
  <si>
    <t xml:space="preserve">kiểm tra tính giá </t>
  </si>
  <si>
    <t>giá cty không hóa đơn</t>
  </si>
  <si>
    <t>giá hoa hồng khđ</t>
  </si>
  <si>
    <t>Giá chốt</t>
  </si>
  <si>
    <t>BEYONO CAO CAP</t>
  </si>
  <si>
    <t>PET//CPP</t>
  </si>
  <si>
    <t>Thành tiền
  màng</t>
  </si>
  <si>
    <t xml:space="preserve">GIÁ MÀNG BOPP 18 mic in từ 1 đến 8 màu </t>
  </si>
  <si>
    <t xml:space="preserve">Báo giá có giá trị đến </t>
  </si>
  <si>
    <t xml:space="preserve">Giá nầy áp dụng cho bộ trục đôi in 1 lần mặt trước và mặt sau </t>
  </si>
  <si>
    <t xml:space="preserve">TÊN MÀNG </t>
  </si>
  <si>
    <t>Giá bán</t>
  </si>
  <si>
    <t>Số màu
 in</t>
  </si>
  <si>
    <t>Nhủ</t>
  </si>
  <si>
    <t>Phủ
mờ</t>
  </si>
  <si>
    <t>Khổ
 màng 
TP</t>
  </si>
  <si>
    <t>Màng in
TP</t>
  </si>
  <si>
    <t>Khổ màng 
nguyên liệu</t>
  </si>
  <si>
    <t>Phi hao:
in dư + phế</t>
  </si>
  <si>
    <t>Màng 
nguyên liệu</t>
  </si>
  <si>
    <t>CPMực + DM</t>
  </si>
  <si>
    <t>Thời gian setup</t>
  </si>
  <si>
    <t>Thoi gian sx</t>
  </si>
  <si>
    <t>CPSX 
in + Chia</t>
  </si>
  <si>
    <t>Giá màng
trắng</t>
  </si>
  <si>
    <t>CP màng
trắng</t>
  </si>
  <si>
    <t>Tổng 
CPSX</t>
  </si>
  <si>
    <t>Lai vay</t>
  </si>
  <si>
    <t>Vận 
chuyển</t>
  </si>
  <si>
    <t>Lợi
 nhuận</t>
  </si>
  <si>
    <t xml:space="preserve">Tỉ lệ 
mực in  </t>
  </si>
  <si>
    <t xml:space="preserve">Màu </t>
  </si>
  <si>
    <t>vnd/set</t>
  </si>
  <si>
    <t>giờ</t>
  </si>
  <si>
    <t>vnd/giờ</t>
  </si>
  <si>
    <t>vndm2</t>
  </si>
  <si>
    <t>%</t>
  </si>
  <si>
    <t>BOPP 18 mic</t>
  </si>
  <si>
    <t>BẢNG GIÁ BÁN MÀNG BOPP 18 mic</t>
  </si>
  <si>
    <t>Số lượng màng in tính 
(1 bộ trục 2 con hình MT+MS)</t>
  </si>
  <si>
    <t>Khổ màng từ 470mm đến 700mm</t>
  </si>
  <si>
    <t>Khổ màng từ 701mm đến 1020mm</t>
  </si>
  <si>
    <t>Giá màng mực in thường từ 4 đến 8 màu : vnd/m2</t>
  </si>
  <si>
    <t>m2 thành phẩm</t>
  </si>
  <si>
    <t xml:space="preserve">Ghi chú : </t>
  </si>
  <si>
    <t>Quy cách trục in : chu vi từ 400mm-990mm, dài trục :</t>
  </si>
  <si>
    <t>Giá in mực nhũ cộng 200đ/m2</t>
  </si>
  <si>
    <t>Giá in mực phủ mờ cộng 300đ/m2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</si>
</sst>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0.0%"/>
    <numFmt numFmtId="166" formatCode="#,##0.000"/>
    <numFmt numFmtId="167" formatCode="0.0"/>
    <numFmt numFmtId="168" formatCode="#,##0.0"/>
    <numFmt numFmtId="169" formatCode="0.000%"/>
    <numFmt numFmtId="170" formatCode="_-* #,##0.00\ _₫_-;\-* #,##0.00\ _₫_-;_-* &quot;-&quot;??\ _₫_-;_-@"/>
    <numFmt numFmtId="171" formatCode="d/m/yyyy"/>
    <numFmt numFmtId="172" formatCode="&quot;Ngày &quot;d/m/yyyy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4.0"/>
      <color rgb="FFFFFFFF"/>
      <name val="Arial"/>
    </font>
    <font>
      <sz val="10.0"/>
      <color rgb="FFFFFFFF"/>
      <name val="Arial"/>
    </font>
    <font>
      <sz val="11.0"/>
      <color rgb="FFFFFFFF"/>
      <name val="Inconsolata"/>
    </font>
    <font>
      <b/>
      <i/>
      <sz val="10.0"/>
      <color rgb="FFFFFFFF"/>
      <name val="Calibri"/>
    </font>
    <font/>
    <font>
      <b/>
      <sz val="10.0"/>
      <color rgb="FF000000"/>
      <name val="Arial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4.0"/>
      <color rgb="FFFFFFFF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9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9.0"/>
      <color rgb="FFFFFFFF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i/>
      <sz val="10.0"/>
      <color rgb="FFFFFFFF"/>
      <name val="Arial"/>
    </font>
    <font>
      <b/>
      <sz val="10.0"/>
      <color rgb="FFFFFFFF"/>
      <name val="Arial"/>
    </font>
    <font>
      <sz val="11.0"/>
      <color rgb="FF000000"/>
      <name val="Calibri"/>
    </font>
    <font>
      <b/>
      <sz val="10.0"/>
      <color theme="1"/>
      <name val="Calibri"/>
    </font>
    <font>
      <sz val="11.0"/>
      <color theme="1"/>
      <name val="Inconsolata"/>
    </font>
    <font>
      <sz val="10.0"/>
      <color rgb="FFFF0000"/>
      <name val="Arial"/>
    </font>
    <font>
      <b/>
      <sz val="10.0"/>
      <color rgb="FFFF000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666666"/>
      <name val="Arial"/>
    </font>
    <font>
      <b/>
      <sz val="10.0"/>
      <color rgb="FF666666"/>
      <name val="Arial"/>
    </font>
    <font>
      <sz val="10.0"/>
      <color rgb="FF434343"/>
      <name val="Arial"/>
    </font>
    <font>
      <b/>
      <sz val="10.0"/>
      <color rgb="FFD9D9D9"/>
      <name val="Arial"/>
    </font>
    <font>
      <sz val="10.0"/>
      <color rgb="FFD9D9D9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FFC499"/>
        <bgColor rgb="FFFFC499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5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</border>
    <border>
      <left style="thin">
        <color rgb="FF000000"/>
      </left>
      <right style="thin">
        <color rgb="FFFFFF00"/>
      </right>
      <top style="thin">
        <color rgb="FFFFFF00"/>
      </top>
      <bottom style="thin">
        <color rgb="FF000000"/>
      </bottom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FFFF00"/>
      </bottom>
    </border>
    <border>
      <left style="thin">
        <color rgb="FFEA4335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EA4335"/>
      </right>
      <top/>
      <bottom style="thin">
        <color rgb="FF000000"/>
      </bottom>
    </border>
    <border>
      <left style="thin">
        <color rgb="FFEA433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A4335"/>
      </right>
      <top style="thin">
        <color rgb="FF000000"/>
      </top>
      <bottom style="thin">
        <color rgb="FF000000"/>
      </bottom>
    </border>
    <border>
      <left style="thin">
        <color rgb="FFEA4335"/>
      </left>
      <right style="thin">
        <color rgb="FF000000"/>
      </right>
      <top style="thin">
        <color rgb="FF000000"/>
      </top>
      <bottom style="thin">
        <color rgb="FFEA433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A4335"/>
      </bottom>
    </border>
    <border>
      <left style="thin">
        <color rgb="FF000000"/>
      </left>
      <right style="thin">
        <color rgb="FFEA4335"/>
      </right>
      <top style="thin">
        <color rgb="FF000000"/>
      </top>
      <bottom style="thin">
        <color rgb="FFEA4335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1" numFmtId="14" xfId="0" applyBorder="1" applyFont="1" applyNumberFormat="1"/>
    <xf borderId="1" fillId="2" fontId="3" numFmtId="0" xfId="0" applyBorder="1" applyFont="1"/>
    <xf borderId="1" fillId="2" fontId="4" numFmtId="0" xfId="0" applyBorder="1" applyFont="1"/>
    <xf borderId="1" fillId="2" fontId="5" numFmtId="0" xfId="0" applyAlignment="1" applyBorder="1" applyFont="1">
      <alignment horizontal="left"/>
    </xf>
    <xf borderId="2" fillId="2" fontId="6" numFmtId="3" xfId="0" applyAlignment="1" applyBorder="1" applyFont="1" applyNumberForma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2" fontId="1" numFmtId="0" xfId="0" applyBorder="1" applyFont="1"/>
    <xf borderId="1" fillId="2" fontId="2" numFmtId="9" xfId="0" applyBorder="1" applyFont="1" applyNumberFormat="1"/>
    <xf borderId="1" fillId="2" fontId="2" numFmtId="0" xfId="0" applyAlignment="1" applyBorder="1" applyFont="1">
      <alignment horizontal="center"/>
    </xf>
    <xf borderId="2" fillId="2" fontId="6" numFmtId="0" xfId="0" applyAlignment="1" applyBorder="1" applyFont="1">
      <alignment horizontal="center" shrinkToFit="0" wrapText="1"/>
    </xf>
    <xf borderId="2" fillId="2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2" fontId="10" numFmtId="3" xfId="0" applyAlignment="1" applyBorder="1" applyFont="1" applyNumberFormat="1">
      <alignment horizontal="center" shrinkToFit="0" wrapText="1"/>
    </xf>
    <xf borderId="1" fillId="2" fontId="10" numFmtId="0" xfId="0" applyAlignment="1" applyBorder="1" applyFont="1">
      <alignment horizontal="center" shrinkToFit="0" wrapText="1"/>
    </xf>
    <xf borderId="1" fillId="2" fontId="11" numFmtId="0" xfId="0" applyBorder="1" applyFont="1"/>
    <xf borderId="5" fillId="3" fontId="2" numFmtId="0" xfId="0" applyAlignment="1" applyBorder="1" applyFill="1" applyFont="1">
      <alignment horizontal="center"/>
    </xf>
    <xf borderId="5" fillId="3" fontId="12" numFmtId="0" xfId="0" applyAlignment="1" applyBorder="1" applyFont="1">
      <alignment horizontal="center"/>
    </xf>
    <xf borderId="6" fillId="3" fontId="12" numFmtId="0" xfId="0" applyAlignment="1" applyBorder="1" applyFont="1">
      <alignment horizontal="center"/>
    </xf>
    <xf borderId="7" fillId="0" fontId="7" numFmtId="0" xfId="0" applyBorder="1" applyFont="1"/>
    <xf borderId="1" fillId="2" fontId="9" numFmtId="0" xfId="0" applyBorder="1" applyFont="1"/>
    <xf borderId="1" fillId="2" fontId="4" numFmtId="3" xfId="0" applyBorder="1" applyFont="1" applyNumberFormat="1"/>
    <xf borderId="1" fillId="2" fontId="4" numFmtId="1" xfId="0" applyBorder="1" applyFont="1" applyNumberFormat="1"/>
    <xf borderId="1" fillId="2" fontId="13" numFmtId="3" xfId="0" applyAlignment="1" applyBorder="1" applyFont="1" applyNumberFormat="1">
      <alignment horizontal="right" shrinkToFit="0" wrapText="1"/>
    </xf>
    <xf borderId="1" fillId="2" fontId="4" numFmtId="9" xfId="0" applyAlignment="1" applyBorder="1" applyFont="1" applyNumberFormat="1">
      <alignment shrinkToFit="0" wrapText="1"/>
    </xf>
    <xf borderId="1" fillId="2" fontId="9" numFmtId="0" xfId="0" applyAlignment="1" applyBorder="1" applyFont="1">
      <alignment horizontal="center"/>
    </xf>
    <xf borderId="5" fillId="4" fontId="2" numFmtId="0" xfId="0" applyAlignment="1" applyBorder="1" applyFill="1" applyFont="1">
      <alignment horizontal="center"/>
    </xf>
    <xf borderId="5" fillId="4" fontId="12" numFmtId="0" xfId="0" applyAlignment="1" applyBorder="1" applyFont="1">
      <alignment horizontal="center"/>
    </xf>
    <xf borderId="5" fillId="4" fontId="2" numFmtId="0" xfId="0" applyBorder="1" applyFont="1"/>
    <xf borderId="5" fillId="4" fontId="12" numFmtId="3" xfId="0" applyAlignment="1" applyBorder="1" applyFont="1" applyNumberFormat="1">
      <alignment horizontal="center"/>
    </xf>
    <xf borderId="1" fillId="2" fontId="14" numFmtId="0" xfId="0" applyBorder="1" applyFont="1"/>
    <xf borderId="1" fillId="2" fontId="14" numFmtId="0" xfId="0" applyAlignment="1" applyBorder="1" applyFont="1">
      <alignment horizontal="right"/>
    </xf>
    <xf borderId="1" fillId="2" fontId="14" numFmtId="3" xfId="0" applyAlignment="1" applyBorder="1" applyFont="1" applyNumberFormat="1">
      <alignment horizontal="right"/>
    </xf>
    <xf borderId="5" fillId="5" fontId="2" numFmtId="0" xfId="0" applyAlignment="1" applyBorder="1" applyFill="1" applyFont="1">
      <alignment horizontal="center"/>
    </xf>
    <xf borderId="5" fillId="5" fontId="12" numFmtId="0" xfId="0" applyBorder="1" applyFont="1"/>
    <xf borderId="5" fillId="5" fontId="15" numFmtId="164" xfId="0" applyAlignment="1" applyBorder="1" applyFont="1" applyNumberFormat="1">
      <alignment horizontal="right"/>
    </xf>
    <xf borderId="5" fillId="5" fontId="15" numFmtId="0" xfId="0" applyAlignment="1" applyBorder="1" applyFont="1">
      <alignment horizontal="right"/>
    </xf>
    <xf borderId="5" fillId="5" fontId="1" numFmtId="1" xfId="0" applyBorder="1" applyFont="1" applyNumberFormat="1"/>
    <xf borderId="5" fillId="5" fontId="12" numFmtId="3" xfId="0" applyAlignment="1" applyBorder="1" applyFont="1" applyNumberFormat="1">
      <alignment horizontal="right"/>
    </xf>
    <xf borderId="1" fillId="5" fontId="2" numFmtId="0" xfId="0" applyBorder="1" applyFont="1"/>
    <xf borderId="1" fillId="5" fontId="9" numFmtId="0" xfId="0" applyBorder="1" applyFont="1"/>
    <xf borderId="1" fillId="5" fontId="4" numFmtId="3" xfId="0" applyBorder="1" applyFont="1" applyNumberFormat="1"/>
    <xf borderId="1" fillId="5" fontId="4" numFmtId="1" xfId="0" applyBorder="1" applyFont="1" applyNumberFormat="1"/>
    <xf borderId="1" fillId="5" fontId="4" numFmtId="0" xfId="0" applyBorder="1" applyFont="1"/>
    <xf borderId="1" fillId="5" fontId="13" numFmtId="3" xfId="0" applyAlignment="1" applyBorder="1" applyFont="1" applyNumberFormat="1">
      <alignment horizontal="right" shrinkToFit="0" wrapText="1"/>
    </xf>
    <xf borderId="1" fillId="5" fontId="4" numFmtId="9" xfId="0" applyAlignment="1" applyBorder="1" applyFont="1" applyNumberFormat="1">
      <alignment shrinkToFit="0" wrapText="1"/>
    </xf>
    <xf borderId="1" fillId="5" fontId="14" numFmtId="0" xfId="0" applyBorder="1" applyFont="1"/>
    <xf borderId="1" fillId="5" fontId="14" numFmtId="0" xfId="0" applyAlignment="1" applyBorder="1" applyFont="1">
      <alignment horizontal="right"/>
    </xf>
    <xf borderId="1" fillId="5" fontId="14" numFmtId="3" xfId="0" applyAlignment="1" applyBorder="1" applyFont="1" applyNumberFormat="1">
      <alignment horizontal="right"/>
    </xf>
    <xf borderId="0" fillId="5" fontId="16" numFmtId="0" xfId="0" applyFont="1"/>
    <xf borderId="5" fillId="2" fontId="2" numFmtId="0" xfId="0" applyAlignment="1" applyBorder="1" applyFont="1">
      <alignment horizontal="center"/>
    </xf>
    <xf borderId="5" fillId="2" fontId="12" numFmtId="0" xfId="0" applyBorder="1" applyFont="1"/>
    <xf borderId="5" fillId="2" fontId="15" numFmtId="164" xfId="0" applyAlignment="1" applyBorder="1" applyFont="1" applyNumberFormat="1">
      <alignment horizontal="right"/>
    </xf>
    <xf borderId="5" fillId="2" fontId="15" numFmtId="0" xfId="0" applyAlignment="1" applyBorder="1" applyFont="1">
      <alignment horizontal="right"/>
    </xf>
    <xf borderId="5" fillId="2" fontId="12" numFmtId="3" xfId="0" applyAlignment="1" applyBorder="1" applyFont="1" applyNumberFormat="1">
      <alignment horizontal="right"/>
    </xf>
    <xf borderId="5" fillId="2" fontId="12" numFmtId="164" xfId="0" applyAlignment="1" applyBorder="1" applyFont="1" applyNumberFormat="1">
      <alignment horizontal="right"/>
    </xf>
    <xf borderId="5" fillId="2" fontId="12" numFmtId="0" xfId="0" applyAlignment="1" applyBorder="1" applyFont="1">
      <alignment horizontal="right"/>
    </xf>
    <xf borderId="1" fillId="2" fontId="13" numFmtId="165" xfId="0" applyAlignment="1" applyBorder="1" applyFont="1" applyNumberFormat="1">
      <alignment horizontal="right" shrinkToFit="0" wrapText="1"/>
    </xf>
    <xf borderId="1" fillId="2" fontId="17" numFmtId="0" xfId="0" applyBorder="1" applyFont="1"/>
    <xf borderId="0" fillId="0" fontId="18" numFmtId="0" xfId="0" applyFont="1"/>
    <xf borderId="5" fillId="5" fontId="19" numFmtId="0" xfId="0" applyAlignment="1" applyBorder="1" applyFont="1">
      <alignment horizontal="right" readingOrder="0"/>
    </xf>
    <xf borderId="5" fillId="5" fontId="12" numFmtId="3" xfId="0" applyAlignment="1" applyBorder="1" applyFont="1" applyNumberFormat="1">
      <alignment horizontal="right" readingOrder="0"/>
    </xf>
    <xf borderId="1" fillId="5" fontId="20" numFmtId="49" xfId="0" applyBorder="1" applyFont="1" applyNumberFormat="1"/>
    <xf borderId="1" fillId="5" fontId="17" numFmtId="0" xfId="0" applyBorder="1" applyFont="1"/>
    <xf borderId="1" fillId="5" fontId="17" numFmtId="3" xfId="0" applyAlignment="1" applyBorder="1" applyFont="1" applyNumberFormat="1">
      <alignment horizontal="right"/>
    </xf>
    <xf borderId="1" fillId="5" fontId="17" numFmtId="0" xfId="0" applyAlignment="1" applyBorder="1" applyFont="1">
      <alignment horizontal="right"/>
    </xf>
    <xf borderId="1" fillId="2" fontId="20" numFmtId="49" xfId="0" applyBorder="1" applyFont="1" applyNumberFormat="1"/>
    <xf borderId="1" fillId="2" fontId="17" numFmtId="3" xfId="0" applyAlignment="1" applyBorder="1" applyFont="1" applyNumberFormat="1">
      <alignment horizontal="right"/>
    </xf>
    <xf borderId="1" fillId="2" fontId="17" numFmtId="0" xfId="0" applyAlignment="1" applyBorder="1" applyFont="1">
      <alignment horizontal="right"/>
    </xf>
    <xf borderId="1" fillId="2" fontId="21" numFmtId="49" xfId="0" applyBorder="1" applyFont="1" applyNumberFormat="1"/>
    <xf borderId="5" fillId="6" fontId="15" numFmtId="164" xfId="0" applyAlignment="1" applyBorder="1" applyFill="1" applyFont="1" applyNumberFormat="1">
      <alignment horizontal="right"/>
    </xf>
    <xf borderId="5" fillId="7" fontId="19" numFmtId="0" xfId="0" applyAlignment="1" applyBorder="1" applyFill="1" applyFont="1">
      <alignment horizontal="right"/>
    </xf>
    <xf borderId="1" fillId="2" fontId="17" numFmtId="9" xfId="0" applyAlignment="1" applyBorder="1" applyFont="1" applyNumberFormat="1">
      <alignment horizontal="right"/>
    </xf>
    <xf borderId="1" fillId="2" fontId="17" numFmtId="3" xfId="0" applyAlignment="1" applyBorder="1" applyFont="1" applyNumberFormat="1">
      <alignment horizontal="center"/>
    </xf>
    <xf borderId="5" fillId="7" fontId="22" numFmtId="0" xfId="0" applyAlignment="1" applyBorder="1" applyFont="1">
      <alignment horizontal="right"/>
    </xf>
    <xf borderId="5" fillId="2" fontId="2" numFmtId="0" xfId="0" applyBorder="1" applyFont="1"/>
    <xf borderId="1" fillId="2" fontId="4" numFmtId="0" xfId="0" applyAlignment="1" applyBorder="1" applyFont="1">
      <alignment shrinkToFit="0" wrapText="1"/>
    </xf>
    <xf borderId="1" fillId="2" fontId="4" numFmtId="49" xfId="0" applyAlignment="1" applyBorder="1" applyFont="1" applyNumberFormat="1">
      <alignment shrinkToFit="0" wrapText="1"/>
    </xf>
    <xf borderId="8" fillId="8" fontId="2" numFmtId="0" xfId="0" applyAlignment="1" applyBorder="1" applyFill="1" applyFont="1">
      <alignment horizontal="left" shrinkToFit="0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" fillId="2" fontId="4" numFmtId="49" xfId="0" applyBorder="1" applyFont="1" applyNumberFormat="1"/>
    <xf borderId="1" fillId="2" fontId="2" numFmtId="165" xfId="0" applyBorder="1" applyFont="1" applyNumberFormat="1"/>
    <xf borderId="1" fillId="2" fontId="2" numFmtId="49" xfId="0" applyBorder="1" applyFont="1" applyNumberFormat="1"/>
    <xf borderId="1" fillId="2" fontId="18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2" fillId="8" fontId="2" numFmtId="0" xfId="0" applyBorder="1" applyFont="1"/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ill="1" applyFont="1">
      <alignment horizontal="left"/>
    </xf>
    <xf borderId="5" fillId="5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ont="1">
      <alignment horizontal="left" vertical="center"/>
    </xf>
    <xf borderId="5" fillId="5" fontId="1" numFmtId="0" xfId="0" applyAlignment="1" applyBorder="1" applyFont="1">
      <alignment horizontal="center"/>
    </xf>
    <xf borderId="5" fillId="10" fontId="2" numFmtId="4" xfId="0" applyAlignment="1" applyBorder="1" applyFill="1" applyFont="1" applyNumberFormat="1">
      <alignment horizontal="center"/>
    </xf>
    <xf borderId="5" fillId="10" fontId="2" numFmtId="3" xfId="0" applyAlignment="1" applyBorder="1" applyFont="1" applyNumberFormat="1">
      <alignment horizontal="center"/>
    </xf>
    <xf borderId="5" fillId="10" fontId="2" numFmtId="166" xfId="0" applyBorder="1" applyFont="1" applyNumberFormat="1"/>
    <xf borderId="5" fillId="10" fontId="2" numFmtId="4" xfId="0" applyBorder="1" applyFont="1" applyNumberFormat="1"/>
    <xf borderId="5" fillId="10" fontId="2" numFmtId="3" xfId="0" applyBorder="1" applyFont="1" applyNumberFormat="1"/>
    <xf borderId="5" fillId="10" fontId="2" numFmtId="1" xfId="0" applyBorder="1" applyFont="1" applyNumberFormat="1"/>
    <xf borderId="5" fillId="10" fontId="2" numFmtId="167" xfId="0" applyBorder="1" applyFont="1" applyNumberFormat="1"/>
    <xf borderId="5" fillId="9" fontId="1" numFmtId="0" xfId="0" applyBorder="1" applyFont="1"/>
    <xf borderId="5" fillId="2" fontId="2" numFmtId="0" xfId="0" applyAlignment="1" applyBorder="1" applyFont="1">
      <alignment horizontal="left"/>
    </xf>
    <xf borderId="5" fillId="11" fontId="1" numFmtId="0" xfId="0" applyAlignment="1" applyBorder="1" applyFill="1" applyFont="1">
      <alignment horizontal="center" vertical="center"/>
    </xf>
    <xf borderId="5" fillId="5" fontId="1" numFmtId="0" xfId="0" applyBorder="1" applyFont="1"/>
    <xf borderId="16" fillId="10" fontId="2" numFmtId="3" xfId="0" applyAlignment="1" applyBorder="1" applyFont="1" applyNumberFormat="1">
      <alignment horizontal="center" vertical="center"/>
    </xf>
    <xf borderId="16" fillId="10" fontId="1" numFmtId="9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/>
    </xf>
    <xf borderId="17" fillId="0" fontId="7" numFmtId="0" xfId="0" applyBorder="1" applyFont="1"/>
    <xf borderId="18" fillId="0" fontId="7" numFmtId="0" xfId="0" applyBorder="1" applyFont="1"/>
    <xf borderId="16" fillId="10" fontId="2" numFmtId="3" xfId="0" applyBorder="1" applyFont="1" applyNumberFormat="1"/>
    <xf borderId="19" fillId="0" fontId="7" numFmtId="0" xfId="0" applyBorder="1" applyFont="1"/>
    <xf borderId="1" fillId="12" fontId="2" numFmtId="0" xfId="0" applyBorder="1" applyFill="1" applyFont="1"/>
    <xf borderId="5" fillId="9" fontId="1" numFmtId="0" xfId="0" applyAlignment="1" applyBorder="1" applyFont="1">
      <alignment horizontal="center"/>
    </xf>
    <xf borderId="5" fillId="5" fontId="1" numFmtId="3" xfId="0" applyAlignment="1" applyBorder="1" applyFont="1" applyNumberFormat="1">
      <alignment horizontal="center"/>
    </xf>
    <xf borderId="5" fillId="10" fontId="2" numFmtId="3" xfId="0" applyAlignment="1" applyBorder="1" applyFont="1" applyNumberFormat="1">
      <alignment horizontal="right"/>
    </xf>
    <xf borderId="5" fillId="5" fontId="1" numFmtId="3" xfId="0" applyAlignment="1" applyBorder="1" applyFont="1" applyNumberFormat="1">
      <alignment horizontal="right"/>
    </xf>
    <xf borderId="5" fillId="5" fontId="2" numFmtId="3" xfId="0" applyAlignment="1" applyBorder="1" applyFont="1" applyNumberFormat="1">
      <alignment horizontal="right"/>
    </xf>
    <xf borderId="5" fillId="13" fontId="2" numFmtId="168" xfId="0" applyAlignment="1" applyBorder="1" applyFill="1" applyFont="1" applyNumberFormat="1">
      <alignment horizontal="center"/>
    </xf>
    <xf borderId="5" fillId="10" fontId="2" numFmtId="168" xfId="0" applyAlignment="1" applyBorder="1" applyFont="1" applyNumberFormat="1">
      <alignment horizontal="right"/>
    </xf>
    <xf borderId="5" fillId="5" fontId="1" numFmtId="169" xfId="0" applyAlignment="1" applyBorder="1" applyFont="1" applyNumberFormat="1">
      <alignment horizontal="right"/>
    </xf>
    <xf borderId="5" fillId="10" fontId="2" numFmtId="10" xfId="0" applyAlignment="1" applyBorder="1" applyFont="1" applyNumberFormat="1">
      <alignment horizontal="right"/>
    </xf>
    <xf borderId="5" fillId="5" fontId="1" numFmtId="9" xfId="0" applyAlignment="1" applyBorder="1" applyFont="1" applyNumberFormat="1">
      <alignment horizontal="center"/>
    </xf>
    <xf borderId="5" fillId="5" fontId="1" numFmtId="10" xfId="0" applyAlignment="1" applyBorder="1" applyFont="1" applyNumberFormat="1">
      <alignment horizontal="right"/>
    </xf>
    <xf borderId="1" fillId="9" fontId="1" numFmtId="0" xfId="0" applyAlignment="1" applyBorder="1" applyFont="1">
      <alignment horizontal="left"/>
    </xf>
    <xf borderId="5" fillId="11" fontId="1" numFmtId="167" xfId="0" applyAlignment="1" applyBorder="1" applyFont="1" applyNumberFormat="1">
      <alignment horizontal="center"/>
    </xf>
    <xf borderId="5" fillId="14" fontId="1" numFmtId="0" xfId="0" applyBorder="1" applyFill="1" applyFont="1"/>
    <xf borderId="5" fillId="2" fontId="1" numFmtId="0" xfId="0" applyBorder="1" applyFont="1"/>
    <xf borderId="5" fillId="15" fontId="1" numFmtId="0" xfId="0" applyAlignment="1" applyBorder="1" applyFill="1" applyFont="1">
      <alignment horizontal="center" vertical="center"/>
    </xf>
    <xf borderId="20" fillId="5" fontId="23" numFmtId="0" xfId="0" applyAlignment="1" applyBorder="1" applyFont="1">
      <alignment horizontal="center"/>
    </xf>
    <xf borderId="21" fillId="0" fontId="7" numFmtId="0" xfId="0" applyBorder="1" applyFont="1"/>
    <xf borderId="22" fillId="5" fontId="23" numFmtId="0" xfId="0" applyAlignment="1" applyBorder="1" applyFont="1">
      <alignment horizontal="center"/>
    </xf>
    <xf borderId="5" fillId="5" fontId="23" numFmtId="0" xfId="0" applyBorder="1" applyFont="1"/>
    <xf borderId="23" fillId="5" fontId="23" numFmtId="0" xfId="0" applyAlignment="1" applyBorder="1" applyFont="1">
      <alignment horizontal="center"/>
    </xf>
    <xf borderId="24" fillId="5" fontId="23" numFmtId="0" xfId="0" applyBorder="1" applyFont="1"/>
    <xf borderId="5" fillId="10" fontId="2" numFmtId="10" xfId="0" applyAlignment="1" applyBorder="1" applyFont="1" applyNumberFormat="1">
      <alignment horizontal="center"/>
    </xf>
    <xf borderId="24" fillId="10" fontId="2" numFmtId="3" xfId="0" applyAlignment="1" applyBorder="1" applyFont="1" applyNumberFormat="1">
      <alignment horizontal="center"/>
    </xf>
    <xf borderId="25" fillId="0" fontId="2" numFmtId="0" xfId="0" applyAlignment="1" applyBorder="1" applyFont="1">
      <alignment horizontal="right"/>
    </xf>
    <xf borderId="26" fillId="0" fontId="15" numFmtId="3" xfId="0" applyAlignment="1" applyBorder="1" applyFont="1" applyNumberFormat="1">
      <alignment horizontal="right"/>
    </xf>
    <xf borderId="27" fillId="0" fontId="15" numFmtId="9" xfId="0" applyAlignment="1" applyBorder="1" applyFont="1" applyNumberFormat="1">
      <alignment horizontal="center"/>
    </xf>
    <xf borderId="19" fillId="0" fontId="15" numFmtId="9" xfId="0" applyBorder="1" applyFont="1" applyNumberFormat="1"/>
    <xf borderId="7" fillId="0" fontId="15" numFmtId="9" xfId="0" applyAlignment="1" applyBorder="1" applyFont="1" applyNumberFormat="1">
      <alignment horizontal="center"/>
    </xf>
    <xf borderId="27" fillId="0" fontId="15" numFmtId="9" xfId="0" applyBorder="1" applyFont="1" applyNumberFormat="1"/>
    <xf borderId="6" fillId="0" fontId="2" numFmtId="0" xfId="0" applyAlignment="1" applyBorder="1" applyFont="1">
      <alignment horizontal="right"/>
    </xf>
    <xf borderId="7" fillId="0" fontId="15" numFmtId="3" xfId="0" applyAlignment="1" applyBorder="1" applyFont="1" applyNumberFormat="1">
      <alignment horizontal="right"/>
    </xf>
    <xf borderId="28" fillId="0" fontId="15" numFmtId="9" xfId="0" applyAlignment="1" applyBorder="1" applyFont="1" applyNumberFormat="1">
      <alignment horizontal="center"/>
    </xf>
    <xf borderId="27" fillId="0" fontId="15" numFmtId="10" xfId="0" applyAlignment="1" applyBorder="1" applyFont="1" applyNumberFormat="1">
      <alignment horizontal="right"/>
    </xf>
    <xf borderId="24" fillId="11" fontId="1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right"/>
    </xf>
    <xf borderId="30" fillId="7" fontId="15" numFmtId="3" xfId="0" applyAlignment="1" applyBorder="1" applyFont="1" applyNumberFormat="1">
      <alignment horizontal="right"/>
    </xf>
    <xf borderId="31" fillId="7" fontId="15" numFmtId="9" xfId="0" applyAlignment="1" applyBorder="1" applyFont="1" applyNumberFormat="1">
      <alignment horizontal="center"/>
    </xf>
    <xf borderId="32" fillId="7" fontId="15" numFmtId="9" xfId="0" applyBorder="1" applyFont="1" applyNumberFormat="1"/>
    <xf borderId="33" fillId="10" fontId="2" numFmtId="3" xfId="0" applyAlignment="1" applyBorder="1" applyFont="1" applyNumberFormat="1">
      <alignment horizontal="center" vertical="center"/>
    </xf>
    <xf borderId="34" fillId="2" fontId="15" numFmtId="3" xfId="0" applyAlignment="1" applyBorder="1" applyFont="1" applyNumberFormat="1">
      <alignment horizontal="right"/>
    </xf>
    <xf borderId="35" fillId="0" fontId="7" numFmtId="0" xfId="0" applyBorder="1" applyFont="1"/>
    <xf borderId="7" fillId="0" fontId="2" numFmtId="3" xfId="0" applyBorder="1" applyFont="1" applyNumberFormat="1"/>
    <xf borderId="27" fillId="0" fontId="15" numFmtId="10" xfId="0" applyAlignment="1" applyBorder="1" applyFont="1" applyNumberFormat="1">
      <alignment horizontal="center"/>
    </xf>
    <xf borderId="5" fillId="16" fontId="1" numFmtId="0" xfId="0" applyBorder="1" applyFill="1" applyFont="1"/>
    <xf borderId="36" fillId="0" fontId="7" numFmtId="0" xfId="0" applyBorder="1" applyFont="1"/>
    <xf borderId="5" fillId="8" fontId="2" numFmtId="0" xfId="0" applyBorder="1" applyFont="1"/>
    <xf borderId="0" fillId="0" fontId="15" numFmtId="0" xfId="0" applyAlignment="1" applyFont="1">
      <alignment horizontal="right"/>
    </xf>
    <xf borderId="1" fillId="2" fontId="1" numFmtId="9" xfId="0" applyAlignment="1" applyBorder="1" applyFont="1" applyNumberFormat="1">
      <alignment horizontal="center" vertical="center"/>
    </xf>
    <xf borderId="0" fillId="0" fontId="16" numFmtId="0" xfId="0" applyAlignment="1" applyFont="1">
      <alignment readingOrder="0"/>
    </xf>
    <xf borderId="0" fillId="0" fontId="15" numFmtId="0" xfId="0" applyAlignment="1" applyFont="1">
      <alignment horizontal="right" readingOrder="0"/>
    </xf>
    <xf quotePrefix="1" borderId="0" fillId="0" fontId="2" numFmtId="0" xfId="0" applyAlignment="1" applyFont="1">
      <alignment readingOrder="0"/>
    </xf>
    <xf borderId="1" fillId="2" fontId="24" numFmtId="0" xfId="0" applyBorder="1" applyFont="1"/>
    <xf borderId="5" fillId="17" fontId="2" numFmtId="0" xfId="0" applyBorder="1" applyFill="1" applyFont="1"/>
    <xf borderId="5" fillId="17" fontId="2" numFmtId="1" xfId="0" applyBorder="1" applyFont="1" applyNumberFormat="1"/>
    <xf borderId="0" fillId="0" fontId="2" numFmtId="1" xfId="0" applyFont="1" applyNumberFormat="1"/>
    <xf borderId="37" fillId="8" fontId="2" numFmtId="0" xfId="0" applyAlignment="1" applyBorder="1" applyFont="1">
      <alignment horizontal="right"/>
    </xf>
    <xf borderId="38" fillId="8" fontId="15" numFmtId="3" xfId="0" applyAlignment="1" applyBorder="1" applyFont="1" applyNumberFormat="1">
      <alignment horizontal="right"/>
    </xf>
    <xf borderId="32" fillId="8" fontId="15" numFmtId="10" xfId="0" applyBorder="1" applyFont="1" applyNumberFormat="1"/>
    <xf borderId="31" fillId="8" fontId="15" numFmtId="9" xfId="0" applyBorder="1" applyFont="1" applyNumberFormat="1"/>
    <xf borderId="0" fillId="0" fontId="25" numFmtId="0" xfId="0" applyAlignment="1" applyFont="1">
      <alignment readingOrder="0"/>
    </xf>
    <xf borderId="24" fillId="8" fontId="2" numFmtId="0" xfId="0" applyAlignment="1" applyBorder="1" applyFont="1">
      <alignment horizontal="right"/>
    </xf>
    <xf borderId="34" fillId="8" fontId="15" numFmtId="3" xfId="0" applyAlignment="1" applyBorder="1" applyFont="1" applyNumberFormat="1">
      <alignment horizontal="right"/>
    </xf>
    <xf borderId="32" fillId="8" fontId="15" numFmtId="9" xfId="0" applyBorder="1" applyFont="1" applyNumberFormat="1"/>
    <xf borderId="31" fillId="8" fontId="15" numFmtId="10" xfId="0" applyAlignment="1" applyBorder="1" applyFont="1" applyNumberFormat="1">
      <alignment horizontal="right"/>
    </xf>
    <xf borderId="5" fillId="2" fontId="26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32" fillId="2" fontId="1" numFmtId="0" xfId="0" applyAlignment="1" applyBorder="1" applyFont="1">
      <alignment horizontal="center" vertical="center"/>
    </xf>
    <xf borderId="39" fillId="8" fontId="2" numFmtId="0" xfId="0" applyAlignment="1" applyBorder="1" applyFont="1">
      <alignment horizontal="right"/>
    </xf>
    <xf borderId="30" fillId="8" fontId="15" numFmtId="3" xfId="0" applyAlignment="1" applyBorder="1" applyFont="1" applyNumberFormat="1">
      <alignment horizontal="right"/>
    </xf>
    <xf borderId="5" fillId="2" fontId="2" numFmtId="4" xfId="0" applyAlignment="1" applyBorder="1" applyFont="1" applyNumberFormat="1">
      <alignment horizontal="center"/>
    </xf>
    <xf borderId="5" fillId="18" fontId="2" numFmtId="4" xfId="0" applyAlignment="1" applyBorder="1" applyFill="1" applyFont="1" applyNumberFormat="1">
      <alignment horizontal="center"/>
    </xf>
    <xf borderId="5" fillId="18" fontId="2" numFmtId="3" xfId="0" applyAlignment="1" applyBorder="1" applyFont="1" applyNumberFormat="1">
      <alignment horizontal="center"/>
    </xf>
    <xf borderId="5" fillId="16" fontId="4" numFmtId="4" xfId="0" applyAlignment="1" applyBorder="1" applyFont="1" applyNumberFormat="1">
      <alignment horizontal="center"/>
    </xf>
    <xf borderId="5" fillId="16" fontId="4" numFmtId="3" xfId="0" applyAlignment="1" applyBorder="1" applyFont="1" applyNumberFormat="1">
      <alignment horizontal="center"/>
    </xf>
    <xf borderId="5" fillId="2" fontId="2" numFmtId="3" xfId="0" applyAlignment="1" applyBorder="1" applyFont="1" applyNumberFormat="1">
      <alignment horizontal="center"/>
    </xf>
    <xf borderId="5" fillId="2" fontId="2" numFmtId="10" xfId="0" applyAlignment="1" applyBorder="1" applyFont="1" applyNumberFormat="1">
      <alignment horizontal="center"/>
    </xf>
    <xf borderId="24" fillId="2" fontId="2" numFmtId="3" xfId="0" applyAlignment="1" applyBorder="1" applyFont="1" applyNumberFormat="1">
      <alignment horizontal="center"/>
    </xf>
    <xf borderId="5" fillId="2" fontId="26" numFmtId="3" xfId="0" applyAlignment="1" applyBorder="1" applyFont="1" applyNumberFormat="1">
      <alignment horizontal="center"/>
    </xf>
    <xf borderId="5" fillId="2" fontId="2" numFmtId="166" xfId="0" applyAlignment="1" applyBorder="1" applyFont="1" applyNumberFormat="1">
      <alignment readingOrder="0"/>
    </xf>
    <xf borderId="5" fillId="2" fontId="2" numFmtId="166" xfId="0" applyBorder="1" applyFont="1" applyNumberFormat="1"/>
    <xf borderId="5" fillId="18" fontId="2" numFmtId="4" xfId="0" applyBorder="1" applyFont="1" applyNumberFormat="1"/>
    <xf borderId="5" fillId="18" fontId="2" numFmtId="3" xfId="0" applyBorder="1" applyFont="1" applyNumberFormat="1"/>
    <xf borderId="5" fillId="16" fontId="4" numFmtId="166" xfId="0" applyBorder="1" applyFont="1" applyNumberFormat="1"/>
    <xf borderId="5" fillId="16" fontId="4" numFmtId="3" xfId="0" applyBorder="1" applyFont="1" applyNumberFormat="1"/>
    <xf borderId="5" fillId="2" fontId="2" numFmtId="3" xfId="0" applyBorder="1" applyFont="1" applyNumberFormat="1"/>
    <xf borderId="5" fillId="2" fontId="2" numFmtId="1" xfId="0" applyBorder="1" applyFont="1" applyNumberFormat="1"/>
    <xf borderId="5" fillId="2" fontId="2" numFmtId="167" xfId="0" applyBorder="1" applyFont="1" applyNumberFormat="1"/>
    <xf borderId="5" fillId="2" fontId="2" numFmtId="1" xfId="0" applyAlignment="1" applyBorder="1" applyFont="1" applyNumberFormat="1">
      <alignment readingOrder="0"/>
    </xf>
    <xf borderId="5" fillId="2" fontId="27" numFmtId="1" xfId="0" applyBorder="1" applyFont="1" applyNumberFormat="1"/>
    <xf borderId="24" fillId="2" fontId="25" numFmtId="3" xfId="0" applyAlignment="1" applyBorder="1" applyFont="1" applyNumberFormat="1">
      <alignment horizontal="center" readingOrder="0"/>
    </xf>
    <xf borderId="34" fillId="8" fontId="2" numFmtId="3" xfId="0" applyBorder="1" applyFont="1" applyNumberFormat="1"/>
    <xf borderId="5" fillId="2" fontId="25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/>
    </xf>
    <xf borderId="5" fillId="2" fontId="2" numFmtId="4" xfId="0" applyBorder="1" applyFont="1" applyNumberFormat="1"/>
    <xf borderId="16" fillId="2" fontId="2" numFmtId="3" xfId="0" applyAlignment="1" applyBorder="1" applyFont="1" applyNumberFormat="1">
      <alignment horizontal="center" vertical="center"/>
    </xf>
    <xf borderId="16" fillId="2" fontId="26" numFmtId="9" xfId="0" applyAlignment="1" applyBorder="1" applyFont="1" applyNumberFormat="1">
      <alignment horizontal="center" vertical="center"/>
    </xf>
    <xf borderId="33" fillId="2" fontId="2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/>
    </xf>
    <xf borderId="5" fillId="2" fontId="1" numFmtId="0" xfId="0" applyAlignment="1" applyBorder="1" applyFont="1">
      <alignment readingOrder="0"/>
    </xf>
    <xf borderId="5" fillId="2" fontId="2" numFmtId="3" xfId="0" applyAlignment="1" applyBorder="1" applyFont="1" applyNumberFormat="1">
      <alignment readingOrder="0"/>
    </xf>
    <xf borderId="16" fillId="2" fontId="2" numFmtId="3" xfId="0" applyBorder="1" applyFont="1" applyNumberFormat="1"/>
    <xf borderId="5" fillId="16" fontId="8" numFmtId="0" xfId="0" applyAlignment="1" applyBorder="1" applyFont="1">
      <alignment horizontal="center" readingOrder="0"/>
    </xf>
    <xf borderId="5" fillId="16" fontId="8" numFmtId="0" xfId="0" applyAlignment="1" applyBorder="1" applyFont="1">
      <alignment horizontal="center"/>
    </xf>
    <xf borderId="0" fillId="2" fontId="2" numFmtId="0" xfId="0" applyFont="1"/>
    <xf borderId="5" fillId="16" fontId="18" numFmtId="0" xfId="0" applyAlignment="1" applyBorder="1" applyFont="1">
      <alignment horizontal="center"/>
    </xf>
    <xf borderId="5" fillId="16" fontId="8" numFmtId="0" xfId="0" applyAlignment="1" applyBorder="1" applyFont="1">
      <alignment horizontal="left" vertical="center"/>
    </xf>
    <xf borderId="5" fillId="16" fontId="18" numFmtId="3" xfId="0" applyAlignment="1" applyBorder="1" applyFont="1" applyNumberFormat="1">
      <alignment horizontal="right"/>
    </xf>
    <xf borderId="5" fillId="16" fontId="8" numFmtId="3" xfId="0" applyAlignment="1" applyBorder="1" applyFont="1" applyNumberFormat="1">
      <alignment horizontal="right"/>
    </xf>
    <xf borderId="0" fillId="2" fontId="2" numFmtId="0" xfId="0" applyAlignment="1" applyFont="1">
      <alignment readingOrder="0"/>
    </xf>
    <xf borderId="5" fillId="19" fontId="1" numFmtId="0" xfId="0" applyBorder="1" applyFill="1" applyFont="1"/>
    <xf borderId="5" fillId="16" fontId="18" numFmtId="168" xfId="0" applyAlignment="1" applyBorder="1" applyFont="1" applyNumberFormat="1">
      <alignment horizontal="center"/>
    </xf>
    <xf borderId="0" fillId="2" fontId="15" numFmtId="0" xfId="0" applyAlignment="1" applyFont="1">
      <alignment horizontal="right"/>
    </xf>
    <xf borderId="5" fillId="19" fontId="1" numFmtId="0" xfId="0" applyAlignment="1" applyBorder="1" applyFont="1">
      <alignment horizontal="left"/>
    </xf>
    <xf borderId="5" fillId="16" fontId="18" numFmtId="168" xfId="0" applyAlignment="1" applyBorder="1" applyFont="1" applyNumberFormat="1">
      <alignment horizontal="right"/>
    </xf>
    <xf borderId="5" fillId="16" fontId="8" numFmtId="169" xfId="0" applyAlignment="1" applyBorder="1" applyFont="1" applyNumberFormat="1">
      <alignment horizontal="right"/>
    </xf>
    <xf borderId="5" fillId="16" fontId="18" numFmtId="10" xfId="0" applyAlignment="1" applyBorder="1" applyFont="1" applyNumberFormat="1">
      <alignment horizontal="right"/>
    </xf>
    <xf borderId="0" fillId="2" fontId="2" numFmtId="3" xfId="0" applyAlignment="1" applyFont="1" applyNumberFormat="1">
      <alignment readingOrder="0"/>
    </xf>
    <xf borderId="5" fillId="16" fontId="8" numFmtId="9" xfId="0" applyAlignment="1" applyBorder="1" applyFont="1" applyNumberFormat="1">
      <alignment horizontal="center"/>
    </xf>
    <xf borderId="5" fillId="16" fontId="8" numFmtId="10" xfId="0" applyAlignment="1" applyBorder="1" applyFont="1" applyNumberFormat="1">
      <alignment horizontal="right"/>
    </xf>
    <xf borderId="1" fillId="19" fontId="1" numFmtId="0" xfId="0" applyAlignment="1" applyBorder="1" applyFont="1">
      <alignment horizontal="left"/>
    </xf>
    <xf borderId="5" fillId="19" fontId="1" numFmtId="1" xfId="0" applyAlignment="1" applyBorder="1" applyFont="1" applyNumberFormat="1">
      <alignment horizontal="center"/>
    </xf>
    <xf borderId="0" fillId="19" fontId="2" numFmtId="0" xfId="0" applyFont="1"/>
    <xf borderId="0" fillId="0" fontId="2" numFmtId="3" xfId="0" applyFont="1" applyNumberFormat="1"/>
    <xf borderId="0" fillId="0" fontId="2" numFmtId="170" xfId="0" applyFont="1" applyNumberFormat="1"/>
    <xf borderId="5" fillId="20" fontId="1" numFmtId="0" xfId="0" applyAlignment="1" applyBorder="1" applyFill="1" applyFont="1">
      <alignment horizontal="center" vertical="center"/>
    </xf>
    <xf borderId="5" fillId="21" fontId="1" numFmtId="0" xfId="0" applyAlignment="1" applyBorder="1" applyFill="1" applyFont="1">
      <alignment horizontal="center" vertical="center"/>
    </xf>
    <xf borderId="32" fillId="9" fontId="1" numFmtId="0" xfId="0" applyAlignment="1" applyBorder="1" applyFont="1">
      <alignment horizontal="center" vertical="center"/>
    </xf>
    <xf borderId="5" fillId="21" fontId="2" numFmtId="3" xfId="0" applyAlignment="1" applyBorder="1" applyFont="1" applyNumberFormat="1">
      <alignment horizontal="center"/>
    </xf>
    <xf borderId="5" fillId="8" fontId="2" numFmtId="3" xfId="0" applyBorder="1" applyFont="1" applyNumberFormat="1"/>
    <xf borderId="5" fillId="8" fontId="27" numFmtId="1" xfId="0" applyBorder="1" applyFont="1" applyNumberFormat="1"/>
    <xf borderId="16" fillId="8" fontId="1" numFmtId="9" xfId="0" applyAlignment="1" applyBorder="1" applyFont="1" applyNumberFormat="1">
      <alignment horizontal="center" vertical="center"/>
    </xf>
    <xf borderId="5" fillId="13" fontId="25" numFmtId="168" xfId="0" applyAlignment="1" applyBorder="1" applyFont="1" applyNumberFormat="1">
      <alignment horizontal="center"/>
    </xf>
    <xf borderId="5" fillId="0" fontId="2" numFmtId="0" xfId="0" applyBorder="1" applyFont="1"/>
    <xf borderId="5" fillId="2" fontId="1" numFmtId="9" xfId="0" applyAlignment="1" applyBorder="1" applyFont="1" applyNumberFormat="1">
      <alignment horizontal="center" vertical="center"/>
    </xf>
    <xf borderId="0" fillId="0" fontId="27" numFmtId="0" xfId="0" applyFont="1"/>
    <xf borderId="0" fillId="0" fontId="28" numFmtId="0" xfId="0" applyFont="1"/>
    <xf borderId="0" fillId="0" fontId="29" numFmtId="0" xfId="0" applyFont="1"/>
    <xf borderId="0" fillId="0" fontId="30" numFmtId="0" xfId="0" applyFont="1"/>
    <xf borderId="0" fillId="0" fontId="31" numFmtId="0" xfId="0" applyFont="1"/>
    <xf borderId="1" fillId="2" fontId="32" numFmtId="171" xfId="0" applyAlignment="1" applyBorder="1" applyFont="1" applyNumberFormat="1">
      <alignment horizontal="left"/>
    </xf>
    <xf borderId="0" fillId="0" fontId="33" numFmtId="0" xfId="0" applyFont="1"/>
    <xf borderId="16" fillId="3" fontId="1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vertical="center"/>
    </xf>
    <xf borderId="5" fillId="9" fontId="8" numFmtId="3" xfId="0" applyAlignment="1" applyBorder="1" applyFont="1" applyNumberFormat="1">
      <alignment horizontal="center" shrinkToFit="0" vertical="center" wrapText="1"/>
    </xf>
    <xf borderId="5" fillId="9" fontId="1" numFmtId="3" xfId="0" applyAlignment="1" applyBorder="1" applyFont="1" applyNumberFormat="1">
      <alignment horizontal="center" shrinkToFit="0" vertical="center" wrapText="1"/>
    </xf>
    <xf borderId="5" fillId="16" fontId="34" numFmtId="3" xfId="0" applyAlignment="1" applyBorder="1" applyFont="1" applyNumberFormat="1">
      <alignment horizontal="center" vertical="center"/>
    </xf>
    <xf borderId="5" fillId="16" fontId="34" numFmtId="3" xfId="0" applyAlignment="1" applyBorder="1" applyFont="1" applyNumberFormat="1">
      <alignment horizontal="center" shrinkToFit="0" vertical="center" wrapText="1"/>
    </xf>
    <xf borderId="5" fillId="16" fontId="34" numFmtId="0" xfId="0" applyAlignment="1" applyBorder="1" applyFont="1">
      <alignment horizontal="center" vertical="center"/>
    </xf>
    <xf borderId="5" fillId="9" fontId="18" numFmtId="0" xfId="0" applyAlignment="1" applyBorder="1" applyFont="1">
      <alignment horizontal="center" vertical="center"/>
    </xf>
    <xf borderId="5" fillId="9" fontId="8" numFmtId="3" xfId="0" applyAlignment="1" applyBorder="1" applyFont="1" applyNumberFormat="1">
      <alignment horizontal="center" vertical="center"/>
    </xf>
    <xf borderId="5" fillId="9" fontId="2" numFmtId="3" xfId="0" applyAlignment="1" applyBorder="1" applyFont="1" applyNumberFormat="1">
      <alignment horizontal="center" vertical="center"/>
    </xf>
    <xf borderId="5" fillId="16" fontId="35" numFmtId="3" xfId="0" applyAlignment="1" applyBorder="1" applyFont="1" applyNumberFormat="1">
      <alignment horizontal="center" vertical="center"/>
    </xf>
    <xf borderId="5" fillId="16" fontId="35" numFmtId="10" xfId="0" applyAlignment="1" applyBorder="1" applyFont="1" applyNumberFormat="1">
      <alignment horizontal="center" vertical="center"/>
    </xf>
    <xf borderId="5" fillId="16" fontId="3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3" fontId="1" numFmtId="0" xfId="0" applyBorder="1" applyFont="1"/>
    <xf borderId="5" fillId="2" fontId="8" numFmtId="1" xfId="0" applyBorder="1" applyFont="1" applyNumberFormat="1"/>
    <xf borderId="5" fillId="2" fontId="8" numFmtId="0" xfId="0" applyAlignment="1" applyBorder="1" applyFont="1">
      <alignment horizontal="center"/>
    </xf>
    <xf borderId="5" fillId="2" fontId="8" numFmtId="3" xfId="0" applyBorder="1" applyFont="1" applyNumberFormat="1"/>
    <xf borderId="5" fillId="2" fontId="8" numFmtId="166" xfId="0" applyBorder="1" applyFont="1" applyNumberFormat="1"/>
    <xf borderId="5" fillId="0" fontId="1" numFmtId="3" xfId="0" applyBorder="1" applyFont="1" applyNumberFormat="1"/>
    <xf borderId="5" fillId="16" fontId="34" numFmtId="166" xfId="0" applyBorder="1" applyFont="1" applyNumberFormat="1"/>
    <xf borderId="5" fillId="16" fontId="34" numFmtId="3" xfId="0" applyBorder="1" applyFont="1" applyNumberFormat="1"/>
    <xf borderId="5" fillId="16" fontId="35" numFmtId="4" xfId="0" applyBorder="1" applyFont="1" applyNumberFormat="1"/>
    <xf borderId="5" fillId="16" fontId="34" numFmtId="4" xfId="0" applyBorder="1" applyFont="1" applyNumberFormat="1"/>
    <xf borderId="5" fillId="16" fontId="35" numFmtId="3" xfId="0" applyBorder="1" applyFont="1" applyNumberFormat="1"/>
    <xf borderId="5" fillId="16" fontId="34" numFmtId="167" xfId="0" applyBorder="1" applyFont="1" applyNumberFormat="1"/>
    <xf borderId="5" fillId="16" fontId="35" numFmtId="1" xfId="0" applyBorder="1" applyFont="1" applyNumberFormat="1"/>
    <xf borderId="5" fillId="16" fontId="34" numFmtId="1" xfId="0" applyBorder="1" applyFont="1" applyNumberFormat="1"/>
    <xf borderId="5" fillId="16" fontId="34" numFmtId="9" xfId="0" applyBorder="1" applyFont="1" applyNumberFormat="1"/>
    <xf borderId="5" fillId="22" fontId="1" numFmtId="3" xfId="0" applyBorder="1" applyFill="1" applyFont="1" applyNumberFormat="1"/>
    <xf borderId="5" fillId="23" fontId="1" numFmtId="3" xfId="0" applyBorder="1" applyFill="1" applyFont="1" applyNumberFormat="1"/>
    <xf borderId="5" fillId="24" fontId="1" numFmtId="3" xfId="0" applyBorder="1" applyFill="1" applyFont="1" applyNumberFormat="1"/>
    <xf borderId="5" fillId="25" fontId="1" numFmtId="3" xfId="0" applyBorder="1" applyFill="1" applyFont="1" applyNumberFormat="1"/>
    <xf borderId="5" fillId="11" fontId="1" numFmtId="3" xfId="0" applyBorder="1" applyFont="1" applyNumberFormat="1"/>
    <xf borderId="5" fillId="26" fontId="1" numFmtId="3" xfId="0" applyBorder="1" applyFill="1" applyFont="1" applyNumberFormat="1"/>
    <xf borderId="5" fillId="27" fontId="1" numFmtId="3" xfId="0" applyBorder="1" applyFill="1" applyFont="1" applyNumberFormat="1"/>
    <xf borderId="40" fillId="2" fontId="8" numFmtId="1" xfId="0" applyBorder="1" applyFont="1" applyNumberFormat="1"/>
    <xf borderId="40" fillId="2" fontId="8" numFmtId="0" xfId="0" applyAlignment="1" applyBorder="1" applyFont="1">
      <alignment horizontal="center"/>
    </xf>
    <xf borderId="40" fillId="2" fontId="8" numFmtId="3" xfId="0" applyBorder="1" applyFont="1" applyNumberFormat="1"/>
    <xf borderId="40" fillId="2" fontId="8" numFmtId="166" xfId="0" applyBorder="1" applyFont="1" applyNumberFormat="1"/>
    <xf borderId="40" fillId="27" fontId="1" numFmtId="3" xfId="0" applyBorder="1" applyFont="1" applyNumberFormat="1"/>
    <xf borderId="24" fillId="3" fontId="1" numFmtId="0" xfId="0" applyBorder="1" applyFont="1"/>
    <xf borderId="41" fillId="2" fontId="8" numFmtId="1" xfId="0" applyBorder="1" applyFont="1" applyNumberFormat="1"/>
    <xf borderId="42" fillId="2" fontId="8" numFmtId="0" xfId="0" applyAlignment="1" applyBorder="1" applyFont="1">
      <alignment horizontal="center"/>
    </xf>
    <xf borderId="42" fillId="2" fontId="8" numFmtId="3" xfId="0" applyBorder="1" applyFont="1" applyNumberFormat="1"/>
    <xf borderId="42" fillId="2" fontId="8" numFmtId="166" xfId="0" applyBorder="1" applyFont="1" applyNumberFormat="1"/>
    <xf borderId="43" fillId="23" fontId="1" numFmtId="3" xfId="0" applyBorder="1" applyFont="1" applyNumberFormat="1"/>
    <xf borderId="34" fillId="16" fontId="34" numFmtId="166" xfId="0" applyBorder="1" applyFont="1" applyNumberFormat="1"/>
    <xf borderId="44" fillId="2" fontId="8" numFmtId="1" xfId="0" applyBorder="1" applyFont="1" applyNumberFormat="1"/>
    <xf borderId="45" fillId="23" fontId="1" numFmtId="3" xfId="0" applyBorder="1" applyFont="1" applyNumberFormat="1"/>
    <xf borderId="46" fillId="2" fontId="8" numFmtId="1" xfId="0" applyBorder="1" applyFont="1" applyNumberFormat="1"/>
    <xf borderId="47" fillId="2" fontId="8" numFmtId="0" xfId="0" applyAlignment="1" applyBorder="1" applyFont="1">
      <alignment horizontal="center"/>
    </xf>
    <xf borderId="47" fillId="2" fontId="8" numFmtId="3" xfId="0" applyBorder="1" applyFont="1" applyNumberFormat="1"/>
    <xf borderId="47" fillId="2" fontId="8" numFmtId="166" xfId="0" applyBorder="1" applyFont="1" applyNumberFormat="1"/>
    <xf borderId="48" fillId="23" fontId="1" numFmtId="3" xfId="0" applyBorder="1" applyFont="1" applyNumberFormat="1"/>
    <xf borderId="49" fillId="2" fontId="8" numFmtId="1" xfId="0" applyBorder="1" applyFont="1" applyNumberFormat="1"/>
    <xf borderId="32" fillId="2" fontId="8" numFmtId="0" xfId="0" applyAlignment="1" applyBorder="1" applyFont="1">
      <alignment horizontal="center"/>
    </xf>
    <xf borderId="32" fillId="2" fontId="8" numFmtId="3" xfId="0" applyBorder="1" applyFont="1" applyNumberFormat="1"/>
    <xf borderId="32" fillId="2" fontId="8" numFmtId="166" xfId="0" applyBorder="1" applyFont="1" applyNumberFormat="1"/>
    <xf borderId="50" fillId="22" fontId="1" numFmtId="3" xfId="0" applyBorder="1" applyFont="1" applyNumberFormat="1"/>
    <xf borderId="51" fillId="2" fontId="8" numFmtId="1" xfId="0" applyBorder="1" applyFont="1" applyNumberFormat="1"/>
    <xf borderId="52" fillId="22" fontId="1" numFmtId="3" xfId="0" applyBorder="1" applyFont="1" applyNumberFormat="1"/>
    <xf borderId="51" fillId="23" fontId="8" numFmtId="1" xfId="0" applyBorder="1" applyFont="1" applyNumberFormat="1"/>
    <xf borderId="5" fillId="22" fontId="8" numFmtId="0" xfId="0" applyAlignment="1" applyBorder="1" applyFont="1">
      <alignment horizontal="center"/>
    </xf>
    <xf borderId="5" fillId="22" fontId="8" numFmtId="3" xfId="0" applyBorder="1" applyFont="1" applyNumberFormat="1"/>
    <xf borderId="5" fillId="22" fontId="8" numFmtId="166" xfId="0" applyBorder="1" applyFont="1" applyNumberFormat="1"/>
    <xf borderId="5" fillId="18" fontId="8" numFmtId="3" xfId="0" applyBorder="1" applyFont="1" applyNumberFormat="1"/>
    <xf borderId="53" fillId="23" fontId="8" numFmtId="1" xfId="0" applyBorder="1" applyFont="1" applyNumberFormat="1"/>
    <xf borderId="54" fillId="18" fontId="8" numFmtId="3" xfId="0" applyBorder="1" applyFont="1" applyNumberFormat="1"/>
    <xf borderId="55" fillId="22" fontId="1" numFmtId="3" xfId="0" applyBorder="1" applyFont="1" applyNumberFormat="1"/>
    <xf borderId="0" fillId="0" fontId="2" numFmtId="172" xfId="0" applyFont="1" applyNumberFormat="1"/>
    <xf borderId="25" fillId="23" fontId="1" numFmtId="0" xfId="0" applyAlignment="1" applyBorder="1" applyFont="1">
      <alignment horizontal="center"/>
    </xf>
    <xf borderId="26" fillId="0" fontId="7" numFmtId="0" xfId="0" applyBorder="1" applyFont="1"/>
    <xf borderId="6" fillId="23" fontId="1" numFmtId="0" xfId="0" applyAlignment="1" applyBorder="1" applyFont="1">
      <alignment horizontal="center"/>
    </xf>
    <xf borderId="56" fillId="0" fontId="7" numFmtId="0" xfId="0" applyBorder="1" applyFont="1"/>
    <xf borderId="5" fillId="21" fontId="1" numFmtId="0" xfId="0" applyBorder="1" applyFont="1"/>
    <xf borderId="29" fillId="0" fontId="7" numFmtId="0" xfId="0" applyBorder="1" applyFont="1"/>
    <xf borderId="28" fillId="0" fontId="7" numFmtId="0" xfId="0" applyBorder="1" applyFont="1"/>
    <xf borderId="6" fillId="23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21" fontId="1" numFmtId="0" xfId="0" applyAlignment="1" applyBorder="1" applyFont="1">
      <alignment horizontal="center"/>
    </xf>
    <xf borderId="5" fillId="2" fontId="18" numFmtId="1" xfId="0" applyBorder="1" applyFont="1" applyNumberFormat="1"/>
    <xf borderId="5" fillId="0" fontId="2" numFmtId="1" xfId="0" applyBorder="1" applyFont="1" applyNumberFormat="1"/>
    <xf borderId="5" fillId="21" fontId="2" numFmtId="0" xfId="0" applyBorder="1" applyFont="1"/>
    <xf borderId="5" fillId="2" fontId="18" numFmtId="3" xfId="0" applyBorder="1" applyFont="1" applyNumberFormat="1"/>
    <xf borderId="5" fillId="0" fontId="2" numFmtId="3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27</xdr:row>
      <xdr:rowOff>180975</xdr:rowOff>
    </xdr:from>
    <xdr:ext cx="2228850" cy="14859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28575</xdr:rowOff>
    </xdr:from>
    <xdr:ext cx="4762500" cy="3095625"/>
    <xdr:pic>
      <xdr:nvPicPr>
        <xdr:cNvPr id="0" name="image2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114800" cy="3028950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7.75"/>
    <col customWidth="1" min="3" max="3" width="12.63"/>
    <col customWidth="1" min="4" max="4" width="10.0"/>
    <col customWidth="1" min="5" max="5" width="12.63"/>
    <col customWidth="1" min="6" max="6" width="22.75"/>
    <col customWidth="1" min="7" max="7" width="3.88"/>
    <col customWidth="1" min="8" max="8" width="16.88"/>
    <col customWidth="1" min="9" max="9" width="10.75"/>
    <col customWidth="1" min="10" max="10" width="11.0"/>
    <col customWidth="1" min="11" max="11" width="13.38"/>
    <col customWidth="1" min="12" max="12" width="3.13"/>
    <col customWidth="1" min="13" max="13" width="23.75"/>
    <col customWidth="1" min="16" max="16" width="2.88"/>
  </cols>
  <sheetData>
    <row r="1" ht="15.75" customHeight="1">
      <c r="A1" s="1" t="s">
        <v>0</v>
      </c>
      <c r="B1" s="2"/>
      <c r="C1" s="2"/>
      <c r="D1" s="2"/>
      <c r="E1" s="2"/>
      <c r="F1" s="3">
        <f>TODAY()</f>
        <v>46094</v>
      </c>
      <c r="G1" s="2"/>
      <c r="H1" s="4" t="s">
        <v>1</v>
      </c>
      <c r="I1" s="5"/>
      <c r="J1" s="5"/>
      <c r="K1" s="6">
        <f>(40*2.1+79*1.4)+120</f>
        <v>314.6</v>
      </c>
      <c r="L1" s="5"/>
      <c r="M1" s="7" t="s">
        <v>2</v>
      </c>
      <c r="N1" s="8"/>
      <c r="O1" s="9"/>
      <c r="P1" s="5"/>
      <c r="Q1" s="5"/>
      <c r="R1" s="5"/>
      <c r="S1" s="5"/>
      <c r="T1" s="5"/>
    </row>
    <row r="2" ht="15.75" customHeight="1">
      <c r="A2" s="2" t="s">
        <v>3</v>
      </c>
      <c r="B2" s="10"/>
      <c r="C2" s="11"/>
      <c r="D2" s="12"/>
      <c r="E2" s="2"/>
      <c r="F2" s="2"/>
      <c r="G2" s="2"/>
      <c r="H2" s="5"/>
      <c r="I2" s="5"/>
      <c r="J2" s="5"/>
      <c r="K2" s="5"/>
      <c r="L2" s="5"/>
      <c r="M2" s="13" t="s">
        <v>4</v>
      </c>
      <c r="N2" s="8"/>
      <c r="O2" s="9"/>
      <c r="P2" s="5"/>
      <c r="Q2" s="5"/>
      <c r="R2" s="5"/>
      <c r="S2" s="5"/>
      <c r="T2" s="5"/>
    </row>
    <row r="3" ht="15.75" customHeight="1">
      <c r="A3" s="14" t="s">
        <v>5</v>
      </c>
      <c r="B3" s="8"/>
      <c r="C3" s="8"/>
      <c r="D3" s="8"/>
      <c r="E3" s="8"/>
      <c r="F3" s="9"/>
      <c r="G3" s="2"/>
      <c r="H3" s="15" t="s">
        <v>6</v>
      </c>
      <c r="I3" s="15" t="s">
        <v>7</v>
      </c>
      <c r="J3" s="15" t="s">
        <v>8</v>
      </c>
      <c r="K3" s="15" t="s">
        <v>9</v>
      </c>
      <c r="L3" s="5"/>
      <c r="M3" s="16" t="s">
        <v>10</v>
      </c>
      <c r="N3" s="17" t="s">
        <v>11</v>
      </c>
      <c r="O3" s="17" t="s">
        <v>12</v>
      </c>
      <c r="P3" s="5"/>
      <c r="Q3" s="18" t="s">
        <v>6</v>
      </c>
      <c r="R3" s="5"/>
      <c r="S3" s="5"/>
      <c r="T3" s="5"/>
    </row>
    <row r="4" ht="15.75" customHeight="1">
      <c r="A4" s="19" t="s">
        <v>13</v>
      </c>
      <c r="B4" s="20" t="s">
        <v>14</v>
      </c>
      <c r="C4" s="20" t="s">
        <v>15</v>
      </c>
      <c r="D4" s="20" t="s">
        <v>16</v>
      </c>
      <c r="E4" s="21" t="s">
        <v>17</v>
      </c>
      <c r="F4" s="22"/>
      <c r="G4" s="2"/>
      <c r="H4" s="23" t="s">
        <v>18</v>
      </c>
      <c r="I4" s="24">
        <v>1600000.0</v>
      </c>
      <c r="J4" s="24" t="str">
        <f>V12</f>
        <v/>
      </c>
      <c r="K4" s="25">
        <f>J4/I4</f>
        <v>0</v>
      </c>
      <c r="L4" s="5"/>
      <c r="M4" s="26" t="s">
        <v>19</v>
      </c>
      <c r="N4" s="27">
        <v>0.5</v>
      </c>
      <c r="O4" s="27">
        <v>0.8</v>
      </c>
      <c r="P4" s="5"/>
      <c r="Q4" s="23" t="s">
        <v>20</v>
      </c>
      <c r="R4" s="28" t="s">
        <v>21</v>
      </c>
      <c r="S4" s="23" t="s">
        <v>8</v>
      </c>
      <c r="T4" s="28" t="s">
        <v>22</v>
      </c>
    </row>
    <row r="5" ht="15.75" customHeight="1">
      <c r="A5" s="29"/>
      <c r="B5" s="30"/>
      <c r="C5" s="30" t="s">
        <v>23</v>
      </c>
      <c r="D5" s="31" t="s">
        <v>24</v>
      </c>
      <c r="E5" s="32" t="s">
        <v>25</v>
      </c>
      <c r="F5" s="32" t="s">
        <v>26</v>
      </c>
      <c r="G5" s="2"/>
      <c r="H5" s="23" t="s">
        <v>27</v>
      </c>
      <c r="I5" s="24">
        <v>500000.0</v>
      </c>
      <c r="J5" s="24" t="str">
        <f>V21</f>
        <v/>
      </c>
      <c r="K5" s="25">
        <f>J5/I5+K1</f>
        <v>314.6</v>
      </c>
      <c r="L5" s="5"/>
      <c r="M5" s="26" t="s">
        <v>28</v>
      </c>
      <c r="N5" s="27">
        <f>22%</f>
        <v>0.22</v>
      </c>
      <c r="O5" s="27">
        <v>0.42</v>
      </c>
      <c r="P5" s="5"/>
      <c r="Q5" s="33" t="s">
        <v>29</v>
      </c>
      <c r="R5" s="34">
        <v>1.0</v>
      </c>
      <c r="S5" s="35">
        <v>2.2E7</v>
      </c>
      <c r="T5" s="35">
        <f t="shared" ref="T5:T10" si="1">S5*R5</f>
        <v>22000000</v>
      </c>
    </row>
    <row r="6" ht="15.75" customHeight="1">
      <c r="A6" s="36">
        <v>1.0</v>
      </c>
      <c r="B6" s="37" t="s">
        <v>30</v>
      </c>
      <c r="C6" s="38">
        <v>1.4</v>
      </c>
      <c r="D6" s="39">
        <v>12.0</v>
      </c>
      <c r="E6" s="40">
        <f>(35000+2500)/1.1</f>
        <v>34090.90909</v>
      </c>
      <c r="F6" s="41">
        <f t="shared" ref="F6:F21" si="2">E6*D6*C6/1000</f>
        <v>572.7272727</v>
      </c>
      <c r="G6" s="42"/>
      <c r="H6" s="43" t="s">
        <v>31</v>
      </c>
      <c r="I6" s="44">
        <v>300000.0</v>
      </c>
      <c r="J6" s="44" t="str">
        <f>J5</f>
        <v/>
      </c>
      <c r="K6" s="45">
        <f>J6/I6+K1</f>
        <v>314.6</v>
      </c>
      <c r="L6" s="46"/>
      <c r="M6" s="47" t="s">
        <v>32</v>
      </c>
      <c r="N6" s="48">
        <v>0.17</v>
      </c>
      <c r="O6" s="48">
        <v>0.27</v>
      </c>
      <c r="P6" s="46"/>
      <c r="Q6" s="49" t="s">
        <v>33</v>
      </c>
      <c r="R6" s="50">
        <v>2.0</v>
      </c>
      <c r="S6" s="51">
        <v>7000000.0</v>
      </c>
      <c r="T6" s="51">
        <f t="shared" si="1"/>
        <v>14000000</v>
      </c>
      <c r="U6" s="52"/>
      <c r="V6" s="52"/>
      <c r="W6" s="52"/>
      <c r="X6" s="52"/>
      <c r="Y6" s="52"/>
      <c r="Z6" s="52"/>
    </row>
    <row r="7" ht="15.75" customHeight="1">
      <c r="A7" s="53">
        <v>2.0</v>
      </c>
      <c r="B7" s="54" t="s">
        <v>34</v>
      </c>
      <c r="C7" s="55">
        <v>1.16</v>
      </c>
      <c r="D7" s="56">
        <v>15.0</v>
      </c>
      <c r="E7" s="57">
        <v>70000.0</v>
      </c>
      <c r="F7" s="57">
        <f t="shared" si="2"/>
        <v>1218</v>
      </c>
      <c r="G7" s="2"/>
      <c r="H7" s="23" t="s">
        <v>35</v>
      </c>
      <c r="I7" s="24">
        <v>500000.0</v>
      </c>
      <c r="J7" s="24" t="str">
        <f>V28</f>
        <v/>
      </c>
      <c r="K7" s="25">
        <f t="shared" ref="K7:K8" si="3">J7/I7</f>
        <v>0</v>
      </c>
      <c r="L7" s="5"/>
      <c r="M7" s="26" t="s">
        <v>36</v>
      </c>
      <c r="N7" s="27">
        <v>0.11</v>
      </c>
      <c r="O7" s="27">
        <v>0.2</v>
      </c>
      <c r="P7" s="5"/>
      <c r="Q7" s="33" t="s">
        <v>37</v>
      </c>
      <c r="R7" s="34">
        <v>2.0</v>
      </c>
      <c r="S7" s="35">
        <v>1.5E7</v>
      </c>
      <c r="T7" s="35">
        <f t="shared" si="1"/>
        <v>30000000</v>
      </c>
    </row>
    <row r="8" ht="15.75" customHeight="1">
      <c r="A8" s="53">
        <v>3.0</v>
      </c>
      <c r="B8" s="54" t="s">
        <v>38</v>
      </c>
      <c r="C8" s="55">
        <v>1.4</v>
      </c>
      <c r="D8" s="56">
        <v>12.0</v>
      </c>
      <c r="E8" s="57">
        <f t="shared" ref="E8:E11" si="4">45000/1.1</f>
        <v>40909.09091</v>
      </c>
      <c r="F8" s="57">
        <f t="shared" si="2"/>
        <v>687.2727273</v>
      </c>
      <c r="G8" s="2"/>
      <c r="H8" s="23" t="s">
        <v>39</v>
      </c>
      <c r="I8" s="24">
        <f>I7*0.6</f>
        <v>300000</v>
      </c>
      <c r="J8" s="24" t="str">
        <f>J7</f>
        <v/>
      </c>
      <c r="K8" s="24">
        <f t="shared" si="3"/>
        <v>0</v>
      </c>
      <c r="L8" s="5"/>
      <c r="M8" s="26" t="s">
        <v>40</v>
      </c>
      <c r="N8" s="27">
        <v>0.08</v>
      </c>
      <c r="O8" s="27">
        <v>0.19</v>
      </c>
      <c r="P8" s="5"/>
      <c r="Q8" s="33" t="s">
        <v>41</v>
      </c>
      <c r="R8" s="34">
        <v>1.0</v>
      </c>
      <c r="S8" s="35">
        <v>2.5E7</v>
      </c>
      <c r="T8" s="35">
        <f t="shared" si="1"/>
        <v>25000000</v>
      </c>
    </row>
    <row r="9" ht="15.75" customHeight="1">
      <c r="A9" s="53">
        <v>4.0</v>
      </c>
      <c r="B9" s="54" t="s">
        <v>42</v>
      </c>
      <c r="C9" s="55">
        <v>0.92</v>
      </c>
      <c r="D9" s="56">
        <v>25.0</v>
      </c>
      <c r="E9" s="57">
        <f t="shared" si="4"/>
        <v>40909.09091</v>
      </c>
      <c r="F9" s="57">
        <f t="shared" si="2"/>
        <v>940.9090909</v>
      </c>
      <c r="G9" s="2"/>
      <c r="H9" s="5"/>
      <c r="I9" s="5"/>
      <c r="J9" s="5"/>
      <c r="K9" s="5" t="str">
        <f>VLOOKUP(E9,Data2023!$B$6:$F$24,5,0)</f>
        <v>#N/A</v>
      </c>
      <c r="L9" s="5"/>
      <c r="M9" s="26" t="s">
        <v>43</v>
      </c>
      <c r="N9" s="27">
        <v>0.08</v>
      </c>
      <c r="O9" s="27">
        <v>0.18</v>
      </c>
      <c r="P9" s="5"/>
      <c r="Q9" s="33" t="s">
        <v>44</v>
      </c>
      <c r="R9" s="34">
        <v>1.0</v>
      </c>
      <c r="S9" s="35">
        <v>1.0E8</v>
      </c>
      <c r="T9" s="35">
        <f t="shared" si="1"/>
        <v>100000000</v>
      </c>
    </row>
    <row r="10" ht="15.75" customHeight="1">
      <c r="A10" s="53">
        <v>5.0</v>
      </c>
      <c r="B10" s="54" t="s">
        <v>45</v>
      </c>
      <c r="C10" s="58">
        <v>0.92</v>
      </c>
      <c r="D10" s="59">
        <v>50.0</v>
      </c>
      <c r="E10" s="57">
        <f t="shared" si="4"/>
        <v>40909.09091</v>
      </c>
      <c r="F10" s="57">
        <f t="shared" si="2"/>
        <v>1881.818182</v>
      </c>
      <c r="G10" s="2"/>
      <c r="H10" s="5"/>
      <c r="I10" s="5"/>
      <c r="J10" s="5"/>
      <c r="K10" s="5"/>
      <c r="L10" s="5"/>
      <c r="M10" s="26" t="s">
        <v>46</v>
      </c>
      <c r="N10" s="60">
        <v>0.075</v>
      </c>
      <c r="O10" s="27">
        <v>0.17</v>
      </c>
      <c r="P10" s="5"/>
      <c r="Q10" s="61" t="s">
        <v>47</v>
      </c>
      <c r="R10" s="34">
        <v>5.0</v>
      </c>
      <c r="S10" s="35">
        <v>1.3E7</v>
      </c>
      <c r="T10" s="35">
        <f t="shared" si="1"/>
        <v>65000000</v>
      </c>
    </row>
    <row r="11" ht="15.75" customHeight="1">
      <c r="A11" s="53"/>
      <c r="B11" s="54" t="s">
        <v>45</v>
      </c>
      <c r="C11" s="58">
        <v>0.92</v>
      </c>
      <c r="D11" s="59">
        <v>50.0</v>
      </c>
      <c r="E11" s="57">
        <f t="shared" si="4"/>
        <v>40909.09091</v>
      </c>
      <c r="F11" s="57">
        <f t="shared" si="2"/>
        <v>1881.818182</v>
      </c>
      <c r="G11" s="2"/>
      <c r="H11" s="5"/>
      <c r="I11" s="5"/>
      <c r="J11" s="5"/>
      <c r="K11" s="5"/>
      <c r="L11" s="5"/>
      <c r="M11" s="26"/>
      <c r="N11" s="60"/>
      <c r="O11" s="27"/>
      <c r="P11" s="5"/>
      <c r="Q11" s="61"/>
      <c r="R11" s="34"/>
      <c r="S11" s="35"/>
      <c r="T11" s="35"/>
      <c r="U11" s="62"/>
      <c r="V11" s="62"/>
      <c r="W11" s="62"/>
      <c r="X11" s="62"/>
      <c r="Y11" s="62"/>
      <c r="Z11" s="62"/>
    </row>
    <row r="12" ht="22.5" customHeight="1">
      <c r="A12" s="36">
        <v>6.0</v>
      </c>
      <c r="B12" s="37" t="s">
        <v>48</v>
      </c>
      <c r="C12" s="38">
        <v>0.925</v>
      </c>
      <c r="D12" s="63">
        <v>120.0</v>
      </c>
      <c r="E12" s="64">
        <v>40000.0</v>
      </c>
      <c r="F12" s="41">
        <f t="shared" si="2"/>
        <v>4440</v>
      </c>
      <c r="G12" s="42"/>
      <c r="H12" s="65" t="s">
        <v>49</v>
      </c>
      <c r="I12" s="46"/>
      <c r="J12" s="46"/>
      <c r="K12" s="46"/>
      <c r="L12" s="46"/>
      <c r="M12" s="47" t="s">
        <v>50</v>
      </c>
      <c r="N12" s="48">
        <v>0.07</v>
      </c>
      <c r="O12" s="48">
        <v>0.16</v>
      </c>
      <c r="P12" s="46"/>
      <c r="Q12" s="66" t="s">
        <v>51</v>
      </c>
      <c r="R12" s="67">
        <f>I4</f>
        <v>1600000</v>
      </c>
      <c r="S12" s="68">
        <f>ROUND(T12/R12,0)</f>
        <v>318</v>
      </c>
      <c r="T12" s="67">
        <f>SUM(T13:T20)</f>
        <v>508923809.5</v>
      </c>
      <c r="U12" s="52"/>
      <c r="V12" s="52"/>
      <c r="W12" s="52"/>
      <c r="X12" s="52"/>
      <c r="Y12" s="52"/>
      <c r="Z12" s="52"/>
    </row>
    <row r="13" ht="15.75" customHeight="1">
      <c r="A13" s="53">
        <v>7.0</v>
      </c>
      <c r="B13" s="54" t="s">
        <v>52</v>
      </c>
      <c r="C13" s="55">
        <v>0.925</v>
      </c>
      <c r="D13" s="56">
        <v>0.0</v>
      </c>
      <c r="E13" s="57">
        <v>40000.0</v>
      </c>
      <c r="F13" s="57">
        <f t="shared" si="2"/>
        <v>0</v>
      </c>
      <c r="G13" s="2"/>
      <c r="H13" s="69" t="s">
        <v>53</v>
      </c>
      <c r="I13" s="5"/>
      <c r="J13" s="5"/>
      <c r="K13" s="5"/>
      <c r="L13" s="5"/>
      <c r="M13" s="26" t="s">
        <v>54</v>
      </c>
      <c r="N13" s="27">
        <v>0.07</v>
      </c>
      <c r="O13" s="27">
        <v>0.16</v>
      </c>
      <c r="P13" s="5"/>
      <c r="Q13" s="33" t="s">
        <v>55</v>
      </c>
      <c r="R13" s="34">
        <v>1.0</v>
      </c>
      <c r="S13" s="35">
        <v>1.5E7</v>
      </c>
      <c r="T13" s="35">
        <f t="shared" ref="T13:T16" si="5">R13*S13</f>
        <v>15000000</v>
      </c>
    </row>
    <row r="14" ht="15.75" customHeight="1">
      <c r="A14" s="53">
        <v>8.0</v>
      </c>
      <c r="B14" s="54" t="s">
        <v>56</v>
      </c>
      <c r="C14" s="55">
        <v>2.76</v>
      </c>
      <c r="D14" s="56">
        <v>6.0</v>
      </c>
      <c r="E14" s="57">
        <f>122000/1.1</f>
        <v>110909.0909</v>
      </c>
      <c r="F14" s="57">
        <f t="shared" si="2"/>
        <v>1836.654545</v>
      </c>
      <c r="G14" s="2"/>
      <c r="H14" s="69" t="s">
        <v>57</v>
      </c>
      <c r="I14" s="5"/>
      <c r="J14" s="5"/>
      <c r="K14" s="5"/>
      <c r="L14" s="5"/>
      <c r="M14" s="26">
        <v>3.0E8</v>
      </c>
      <c r="N14" s="27">
        <v>0.06</v>
      </c>
      <c r="O14" s="27">
        <v>0.15</v>
      </c>
      <c r="P14" s="5"/>
      <c r="Q14" s="33" t="s">
        <v>58</v>
      </c>
      <c r="R14" s="34">
        <v>2.0</v>
      </c>
      <c r="S14" s="35">
        <v>2.0E7</v>
      </c>
      <c r="T14" s="35">
        <f t="shared" si="5"/>
        <v>40000000</v>
      </c>
    </row>
    <row r="15" ht="15.75" customHeight="1">
      <c r="A15" s="53">
        <v>9.0</v>
      </c>
      <c r="B15" s="54" t="s">
        <v>59</v>
      </c>
      <c r="C15" s="55">
        <v>0.91</v>
      </c>
      <c r="D15" s="56">
        <v>18.0</v>
      </c>
      <c r="E15" s="57">
        <f t="shared" ref="E15:E16" si="6">45500/1.1</f>
        <v>41363.63636</v>
      </c>
      <c r="F15" s="57">
        <f t="shared" si="2"/>
        <v>677.5363636</v>
      </c>
      <c r="G15" s="2"/>
      <c r="H15" s="69" t="s">
        <v>60</v>
      </c>
      <c r="I15" s="5"/>
      <c r="J15" s="5"/>
      <c r="K15" s="5"/>
      <c r="L15" s="5"/>
      <c r="M15" s="26">
        <v>4.0E8</v>
      </c>
      <c r="N15" s="27">
        <v>0.05</v>
      </c>
      <c r="O15" s="27">
        <v>0.15</v>
      </c>
      <c r="P15" s="5"/>
      <c r="Q15" s="33" t="s">
        <v>61</v>
      </c>
      <c r="R15" s="34">
        <v>8.0</v>
      </c>
      <c r="S15" s="35">
        <v>1.2E7</v>
      </c>
      <c r="T15" s="35">
        <f t="shared" si="5"/>
        <v>96000000</v>
      </c>
    </row>
    <row r="16" ht="15.75" customHeight="1">
      <c r="A16" s="53">
        <v>10.0</v>
      </c>
      <c r="B16" s="54" t="s">
        <v>62</v>
      </c>
      <c r="C16" s="55">
        <v>0.91</v>
      </c>
      <c r="D16" s="56">
        <v>20.0</v>
      </c>
      <c r="E16" s="57">
        <f t="shared" si="6"/>
        <v>41363.63636</v>
      </c>
      <c r="F16" s="57">
        <f t="shared" si="2"/>
        <v>752.8181818</v>
      </c>
      <c r="G16" s="2"/>
      <c r="H16" s="69" t="s">
        <v>63</v>
      </c>
      <c r="I16" s="5"/>
      <c r="J16" s="5"/>
      <c r="K16" s="5"/>
      <c r="L16" s="5"/>
      <c r="M16" s="26">
        <v>5.0E8</v>
      </c>
      <c r="N16" s="27">
        <v>0.05</v>
      </c>
      <c r="O16" s="27">
        <v>0.15</v>
      </c>
      <c r="P16" s="5"/>
      <c r="Q16" s="61" t="s">
        <v>64</v>
      </c>
      <c r="R16" s="70">
        <v>1000.0</v>
      </c>
      <c r="S16" s="70">
        <v>60000.0</v>
      </c>
      <c r="T16" s="35">
        <f t="shared" si="5"/>
        <v>60000000</v>
      </c>
    </row>
    <row r="17" ht="15.75" customHeight="1">
      <c r="A17" s="53">
        <v>11.0</v>
      </c>
      <c r="B17" s="54" t="s">
        <v>65</v>
      </c>
      <c r="C17" s="55">
        <v>0.91</v>
      </c>
      <c r="D17" s="56">
        <v>30.0</v>
      </c>
      <c r="E17" s="57">
        <v>40000.0</v>
      </c>
      <c r="F17" s="57">
        <f t="shared" si="2"/>
        <v>1092</v>
      </c>
      <c r="G17" s="2"/>
      <c r="H17" s="69" t="s">
        <v>66</v>
      </c>
      <c r="I17" s="5"/>
      <c r="J17" s="5"/>
      <c r="K17" s="5"/>
      <c r="L17" s="5"/>
      <c r="M17" s="26">
        <v>6.0E8</v>
      </c>
      <c r="N17" s="27">
        <v>0.04</v>
      </c>
      <c r="O17" s="27">
        <v>0.14</v>
      </c>
      <c r="P17" s="5"/>
      <c r="Q17" s="61" t="s">
        <v>67</v>
      </c>
      <c r="R17" s="71">
        <v>84.0</v>
      </c>
      <c r="S17" s="70">
        <v>5.0E9</v>
      </c>
      <c r="T17" s="70">
        <f>S17/R17</f>
        <v>59523809.52</v>
      </c>
    </row>
    <row r="18" ht="15.75" customHeight="1">
      <c r="A18" s="53">
        <v>12.0</v>
      </c>
      <c r="B18" s="54" t="s">
        <v>68</v>
      </c>
      <c r="C18" s="55">
        <v>0.88</v>
      </c>
      <c r="D18" s="56">
        <v>20.0</v>
      </c>
      <c r="E18" s="57">
        <f>55000/1.1</f>
        <v>50000</v>
      </c>
      <c r="F18" s="57">
        <f t="shared" si="2"/>
        <v>880</v>
      </c>
      <c r="G18" s="2"/>
      <c r="H18" s="72" t="s">
        <v>69</v>
      </c>
      <c r="I18" s="5"/>
      <c r="J18" s="5"/>
      <c r="K18" s="5"/>
      <c r="L18" s="5"/>
      <c r="M18" s="26">
        <v>7.0E8</v>
      </c>
      <c r="N18" s="27">
        <v>0.04</v>
      </c>
      <c r="O18" s="27">
        <v>0.13</v>
      </c>
      <c r="P18" s="5"/>
      <c r="Q18" s="61" t="s">
        <v>70</v>
      </c>
      <c r="R18" s="70">
        <f>R12</f>
        <v>1600000</v>
      </c>
      <c r="S18" s="71">
        <v>70.0</v>
      </c>
      <c r="T18" s="70">
        <f t="shared" ref="T18:T20" si="7">R18*S18</f>
        <v>112000000</v>
      </c>
    </row>
    <row r="19" ht="15.75" customHeight="1">
      <c r="A19" s="53">
        <v>13.0</v>
      </c>
      <c r="B19" s="54" t="s">
        <v>71</v>
      </c>
      <c r="C19" s="73">
        <v>0.604</v>
      </c>
      <c r="D19" s="74">
        <v>40.0</v>
      </c>
      <c r="E19" s="57">
        <f>70000/1.1</f>
        <v>63636.36364</v>
      </c>
      <c r="F19" s="57">
        <f t="shared" si="2"/>
        <v>1537.454545</v>
      </c>
      <c r="G19" s="2"/>
      <c r="H19" s="72" t="s">
        <v>72</v>
      </c>
      <c r="I19" s="5"/>
      <c r="J19" s="5"/>
      <c r="K19" s="5"/>
      <c r="L19" s="5"/>
      <c r="M19" s="26">
        <v>8.0E8</v>
      </c>
      <c r="N19" s="27">
        <v>0.04</v>
      </c>
      <c r="O19" s="27">
        <v>0.12</v>
      </c>
      <c r="P19" s="5"/>
      <c r="Q19" s="33" t="s">
        <v>73</v>
      </c>
      <c r="R19" s="34">
        <v>2.0</v>
      </c>
      <c r="S19" s="35">
        <v>1.2E7</v>
      </c>
      <c r="T19" s="35">
        <f t="shared" si="7"/>
        <v>24000000</v>
      </c>
    </row>
    <row r="20" ht="15.75" customHeight="1">
      <c r="A20" s="53">
        <v>14.0</v>
      </c>
      <c r="B20" s="54" t="s">
        <v>74</v>
      </c>
      <c r="C20" s="73">
        <v>0.604</v>
      </c>
      <c r="D20" s="74">
        <v>60.0</v>
      </c>
      <c r="E20" s="57">
        <v>73000.0</v>
      </c>
      <c r="F20" s="57">
        <f t="shared" si="2"/>
        <v>2645.52</v>
      </c>
      <c r="G20" s="2"/>
      <c r="H20" s="5"/>
      <c r="I20" s="5"/>
      <c r="J20" s="5"/>
      <c r="K20" s="5"/>
      <c r="L20" s="5"/>
      <c r="M20" s="26">
        <v>9.0E8</v>
      </c>
      <c r="N20" s="27">
        <v>0.04</v>
      </c>
      <c r="O20" s="27">
        <v>0.12</v>
      </c>
      <c r="P20" s="5"/>
      <c r="Q20" s="61" t="s">
        <v>75</v>
      </c>
      <c r="R20" s="75">
        <v>0.4</v>
      </c>
      <c r="S20" s="76">
        <f>SUM(T5:T10)</f>
        <v>256000000</v>
      </c>
      <c r="T20" s="35">
        <f t="shared" si="7"/>
        <v>102400000</v>
      </c>
    </row>
    <row r="21" ht="15.75" customHeight="1">
      <c r="A21" s="53">
        <v>15.0</v>
      </c>
      <c r="B21" s="54" t="s">
        <v>76</v>
      </c>
      <c r="C21" s="55">
        <v>0.91</v>
      </c>
      <c r="D21" s="77">
        <v>25.0</v>
      </c>
      <c r="E21" s="57">
        <v>49000.0</v>
      </c>
      <c r="F21" s="57">
        <f t="shared" si="2"/>
        <v>1114.75</v>
      </c>
      <c r="G21" s="2"/>
      <c r="H21" s="5"/>
      <c r="I21" s="5"/>
      <c r="J21" s="5"/>
      <c r="K21" s="5"/>
      <c r="L21" s="5"/>
      <c r="M21" s="26">
        <v>1.0E9</v>
      </c>
      <c r="N21" s="27">
        <v>0.04</v>
      </c>
      <c r="O21" s="27">
        <v>0.11</v>
      </c>
      <c r="P21" s="5"/>
      <c r="Q21" s="61" t="s">
        <v>77</v>
      </c>
      <c r="R21" s="70">
        <f>I5</f>
        <v>500000</v>
      </c>
      <c r="S21" s="71">
        <f>T21/R21</f>
        <v>346.0190476</v>
      </c>
      <c r="T21" s="70">
        <f>SUM(T23:T27)</f>
        <v>173009523.8</v>
      </c>
    </row>
    <row r="22" ht="15.75" customHeight="1">
      <c r="A22" s="53">
        <v>17.0</v>
      </c>
      <c r="B22" s="54" t="s">
        <v>68</v>
      </c>
      <c r="C22" s="55">
        <v>0.88</v>
      </c>
      <c r="D22" s="77">
        <v>20.0</v>
      </c>
      <c r="E22" s="57">
        <v>50000.0</v>
      </c>
      <c r="F22" s="57">
        <v>0.0</v>
      </c>
      <c r="G22" s="2"/>
      <c r="H22" s="5"/>
      <c r="I22" s="5"/>
      <c r="J22" s="5"/>
      <c r="K22" s="5"/>
      <c r="L22" s="5"/>
      <c r="M22" s="26"/>
      <c r="N22" s="27"/>
      <c r="O22" s="27"/>
      <c r="P22" s="5"/>
      <c r="Q22" s="33"/>
      <c r="R22" s="34"/>
      <c r="S22" s="35"/>
      <c r="T22" s="70"/>
    </row>
    <row r="23" ht="15.75" customHeight="1">
      <c r="A23" s="53">
        <v>16.0</v>
      </c>
      <c r="B23" s="54" t="s">
        <v>78</v>
      </c>
      <c r="C23" s="55"/>
      <c r="D23" s="56"/>
      <c r="E23" s="57">
        <f>360*1.05</f>
        <v>378</v>
      </c>
      <c r="F23" s="57"/>
      <c r="G23" s="2"/>
      <c r="H23" s="5"/>
      <c r="I23" s="5"/>
      <c r="J23" s="5"/>
      <c r="K23" s="5"/>
      <c r="L23" s="5"/>
      <c r="M23" s="26">
        <v>1.1E9</v>
      </c>
      <c r="N23" s="27">
        <v>0.04</v>
      </c>
      <c r="O23" s="27">
        <v>0.1</v>
      </c>
      <c r="P23" s="5"/>
      <c r="Q23" s="33" t="s">
        <v>58</v>
      </c>
      <c r="R23" s="34">
        <v>1.0</v>
      </c>
      <c r="S23" s="35">
        <v>2.0E7</v>
      </c>
      <c r="T23" s="70">
        <f>R23*S23</f>
        <v>20000000</v>
      </c>
    </row>
    <row r="24" ht="15.75" customHeight="1">
      <c r="A24" s="53">
        <v>18.0</v>
      </c>
      <c r="B24" s="78">
        <v>0.0</v>
      </c>
      <c r="C24" s="78">
        <v>0.0</v>
      </c>
      <c r="D24" s="53">
        <v>0.0</v>
      </c>
      <c r="E24" s="78">
        <v>0.0</v>
      </c>
      <c r="F24" s="78">
        <v>0.0</v>
      </c>
      <c r="G24" s="2"/>
      <c r="H24" s="5"/>
      <c r="I24" s="5"/>
      <c r="J24" s="5"/>
      <c r="K24" s="5"/>
      <c r="L24" s="5"/>
      <c r="M24" s="79"/>
      <c r="N24" s="79"/>
      <c r="O24" s="79"/>
      <c r="P24" s="5"/>
      <c r="Q24" s="61" t="s">
        <v>79</v>
      </c>
      <c r="R24" s="71">
        <v>84.0</v>
      </c>
      <c r="S24" s="70">
        <v>2.0E9</v>
      </c>
      <c r="T24" s="70">
        <f>S24/R24</f>
        <v>23809523.81</v>
      </c>
    </row>
    <row r="25" ht="15.75" customHeight="1">
      <c r="A25" s="2"/>
      <c r="B25" s="2"/>
      <c r="C25" s="11"/>
      <c r="D25" s="12"/>
      <c r="E25" s="2" t="s">
        <v>80</v>
      </c>
      <c r="F25" s="2"/>
      <c r="G25" s="2"/>
      <c r="H25" s="5"/>
      <c r="I25" s="5"/>
      <c r="J25" s="5"/>
      <c r="K25" s="5"/>
      <c r="L25" s="5"/>
      <c r="M25" s="5"/>
      <c r="N25" s="80"/>
      <c r="O25" s="80"/>
      <c r="P25" s="5"/>
      <c r="Q25" s="61" t="s">
        <v>64</v>
      </c>
      <c r="R25" s="71">
        <v>500.0</v>
      </c>
      <c r="S25" s="70">
        <v>60000.0</v>
      </c>
      <c r="T25" s="70">
        <f t="shared" ref="T25:T27" si="8">R25*S25</f>
        <v>30000000</v>
      </c>
    </row>
    <row r="26" ht="15.75" customHeight="1">
      <c r="A26" s="2"/>
      <c r="B26" s="2" t="s">
        <v>81</v>
      </c>
      <c r="C26" s="2"/>
      <c r="D26" s="12"/>
      <c r="E26" s="2"/>
      <c r="F26" s="2"/>
      <c r="G26" s="2"/>
      <c r="H26" s="5"/>
      <c r="I26" s="5"/>
      <c r="J26" s="5"/>
      <c r="K26" s="5"/>
      <c r="L26" s="5"/>
      <c r="M26" s="5"/>
      <c r="N26" s="79"/>
      <c r="O26" s="79"/>
      <c r="P26" s="5"/>
      <c r="Q26" s="61" t="s">
        <v>70</v>
      </c>
      <c r="R26" s="70">
        <v>400000.0</v>
      </c>
      <c r="S26" s="71">
        <v>120.0</v>
      </c>
      <c r="T26" s="70">
        <f t="shared" si="8"/>
        <v>48000000</v>
      </c>
    </row>
    <row r="27" ht="15.75" customHeight="1">
      <c r="A27" s="2"/>
      <c r="B27" s="2"/>
      <c r="C27" s="11"/>
      <c r="D27" s="12"/>
      <c r="E27" s="2"/>
      <c r="F27" s="2"/>
      <c r="G27" s="2"/>
      <c r="H27" s="5"/>
      <c r="I27" s="5"/>
      <c r="J27" s="5"/>
      <c r="K27" s="5"/>
      <c r="L27" s="5"/>
      <c r="M27" s="5"/>
      <c r="N27" s="80"/>
      <c r="O27" s="80"/>
      <c r="P27" s="5"/>
      <c r="Q27" s="61" t="s">
        <v>75</v>
      </c>
      <c r="R27" s="75">
        <v>0.2</v>
      </c>
      <c r="S27" s="70">
        <f>S20</f>
        <v>256000000</v>
      </c>
      <c r="T27" s="70">
        <f t="shared" si="8"/>
        <v>51200000</v>
      </c>
    </row>
    <row r="28" ht="15.75" customHeight="1">
      <c r="A28" s="2"/>
      <c r="B28" s="81" t="s">
        <v>82</v>
      </c>
      <c r="C28" s="82"/>
      <c r="D28" s="82"/>
      <c r="E28" s="82"/>
      <c r="F28" s="83"/>
      <c r="G28" s="2"/>
      <c r="H28" s="5"/>
      <c r="I28" s="5"/>
      <c r="J28" s="5"/>
      <c r="K28" s="5"/>
      <c r="L28" s="5"/>
      <c r="M28" s="5"/>
      <c r="N28" s="80"/>
      <c r="O28" s="79"/>
      <c r="P28" s="5"/>
      <c r="Q28" s="61" t="s">
        <v>83</v>
      </c>
      <c r="R28" s="70">
        <f>I7</f>
        <v>500000</v>
      </c>
      <c r="S28" s="71">
        <f>T28/R28</f>
        <v>712.228572</v>
      </c>
      <c r="T28" s="70">
        <f>SUM(T29:T35)</f>
        <v>356114286</v>
      </c>
    </row>
    <row r="29" ht="15.75" customHeight="1">
      <c r="A29" s="2"/>
      <c r="B29" s="84"/>
      <c r="F29" s="85"/>
      <c r="G29" s="2"/>
      <c r="H29" s="5"/>
      <c r="I29" s="5"/>
      <c r="J29" s="5"/>
      <c r="K29" s="5"/>
      <c r="L29" s="5"/>
      <c r="M29" s="5"/>
      <c r="N29" s="80"/>
      <c r="O29" s="79"/>
      <c r="P29" s="5"/>
      <c r="Q29" s="33" t="s">
        <v>84</v>
      </c>
      <c r="R29" s="34">
        <v>1.0</v>
      </c>
      <c r="S29" s="35">
        <v>2.0E7</v>
      </c>
      <c r="T29" s="35">
        <f t="shared" ref="T29:T31" si="9">S29*R29</f>
        <v>20000000</v>
      </c>
    </row>
    <row r="30" ht="15.75" customHeight="1">
      <c r="A30" s="2"/>
      <c r="B30" s="84"/>
      <c r="F30" s="85"/>
      <c r="G30" s="2"/>
      <c r="H30" s="5"/>
      <c r="I30" s="5"/>
      <c r="J30" s="5"/>
      <c r="K30" s="5"/>
      <c r="L30" s="5"/>
      <c r="M30" s="5"/>
      <c r="N30" s="80"/>
      <c r="O30" s="79"/>
      <c r="P30" s="5"/>
      <c r="Q30" s="33" t="s">
        <v>85</v>
      </c>
      <c r="R30" s="34">
        <v>1.0</v>
      </c>
      <c r="S30" s="35">
        <v>1.6E7</v>
      </c>
      <c r="T30" s="35">
        <f t="shared" si="9"/>
        <v>16000000</v>
      </c>
    </row>
    <row r="31" ht="15.75" customHeight="1">
      <c r="A31" s="2"/>
      <c r="B31" s="84"/>
      <c r="F31" s="85"/>
      <c r="G31" s="2"/>
      <c r="H31" s="5"/>
      <c r="I31" s="5"/>
      <c r="J31" s="5"/>
      <c r="K31" s="5"/>
      <c r="L31" s="5"/>
      <c r="M31" s="5"/>
      <c r="N31" s="80"/>
      <c r="O31" s="79"/>
      <c r="P31" s="5"/>
      <c r="Q31" s="33" t="s">
        <v>61</v>
      </c>
      <c r="R31" s="34">
        <v>10.0</v>
      </c>
      <c r="S31" s="35">
        <v>1.0E7</v>
      </c>
      <c r="T31" s="35">
        <f t="shared" si="9"/>
        <v>100000000</v>
      </c>
    </row>
    <row r="32" ht="15.75" customHeight="1">
      <c r="A32" s="2"/>
      <c r="B32" s="84"/>
      <c r="F32" s="85"/>
      <c r="G32" s="2"/>
      <c r="H32" s="5"/>
      <c r="I32" s="5"/>
      <c r="J32" s="5"/>
      <c r="K32" s="5"/>
      <c r="L32" s="5"/>
      <c r="M32" s="5"/>
      <c r="N32" s="80"/>
      <c r="O32" s="79"/>
      <c r="P32" s="5"/>
      <c r="Q32" s="61" t="s">
        <v>79</v>
      </c>
      <c r="R32" s="71">
        <v>84.0</v>
      </c>
      <c r="S32" s="70">
        <v>3.0E9</v>
      </c>
      <c r="T32" s="70">
        <v>3.5714286E7</v>
      </c>
    </row>
    <row r="33" ht="15.75" customHeight="1">
      <c r="A33" s="2"/>
      <c r="B33" s="84"/>
      <c r="F33" s="85"/>
      <c r="G33" s="2"/>
      <c r="H33" s="5"/>
      <c r="I33" s="5"/>
      <c r="J33" s="5"/>
      <c r="K33" s="5"/>
      <c r="L33" s="5"/>
      <c r="M33" s="79"/>
      <c r="N33" s="80"/>
      <c r="O33" s="79"/>
      <c r="P33" s="5"/>
      <c r="Q33" s="61" t="s">
        <v>86</v>
      </c>
      <c r="R33" s="70">
        <v>400000.0</v>
      </c>
      <c r="S33" s="71">
        <v>130.0</v>
      </c>
      <c r="T33" s="70">
        <f>R33*S33</f>
        <v>52000000</v>
      </c>
    </row>
    <row r="34" ht="15.75" customHeight="1">
      <c r="A34" s="2"/>
      <c r="B34" s="84"/>
      <c r="F34" s="85"/>
      <c r="G34" s="2"/>
      <c r="H34" s="5"/>
      <c r="I34" s="5"/>
      <c r="J34" s="5"/>
      <c r="K34" s="5"/>
      <c r="L34" s="5"/>
      <c r="M34" s="5"/>
      <c r="N34" s="86"/>
      <c r="O34" s="5"/>
      <c r="P34" s="5"/>
      <c r="Q34" s="61" t="s">
        <v>64</v>
      </c>
      <c r="R34" s="71">
        <v>500.0</v>
      </c>
      <c r="S34" s="70">
        <v>60000.0</v>
      </c>
      <c r="T34" s="70">
        <v>3.0E7</v>
      </c>
    </row>
    <row r="35" ht="15.75" customHeight="1">
      <c r="A35" s="2"/>
      <c r="B35" s="84"/>
      <c r="F35" s="85"/>
      <c r="G35" s="2"/>
      <c r="H35" s="5"/>
      <c r="I35" s="5"/>
      <c r="J35" s="5"/>
      <c r="K35" s="5"/>
      <c r="L35" s="5"/>
      <c r="M35" s="5"/>
      <c r="N35" s="86"/>
      <c r="O35" s="5"/>
      <c r="P35" s="5"/>
      <c r="Q35" s="61" t="s">
        <v>75</v>
      </c>
      <c r="R35" s="75">
        <v>0.4</v>
      </c>
      <c r="S35" s="70">
        <f>S20</f>
        <v>256000000</v>
      </c>
      <c r="T35" s="70">
        <f>S35*R35</f>
        <v>102400000</v>
      </c>
    </row>
    <row r="36" ht="15.75" customHeight="1">
      <c r="A36" s="87"/>
      <c r="B36" s="84"/>
      <c r="F36" s="85"/>
      <c r="G36" s="2"/>
      <c r="H36" s="5"/>
      <c r="I36" s="5"/>
      <c r="J36" s="5"/>
      <c r="K36" s="5"/>
      <c r="L36" s="5"/>
      <c r="M36" s="5"/>
      <c r="N36" s="86"/>
      <c r="O36" s="86"/>
      <c r="P36" s="5"/>
      <c r="Q36" s="5"/>
      <c r="R36" s="5"/>
      <c r="S36" s="5"/>
      <c r="T36" s="5"/>
    </row>
    <row r="37" ht="15.75" customHeight="1">
      <c r="A37" s="87"/>
      <c r="B37" s="84"/>
      <c r="F37" s="85"/>
      <c r="G37" s="2"/>
      <c r="L37" s="2"/>
      <c r="M37" s="2"/>
      <c r="N37" s="88"/>
      <c r="O37" s="88"/>
      <c r="P37" s="2"/>
      <c r="Q37" s="2"/>
      <c r="R37" s="2"/>
      <c r="S37" s="2"/>
      <c r="T37" s="2"/>
    </row>
    <row r="38" ht="15.75" customHeight="1">
      <c r="A38" s="87"/>
      <c r="B38" s="84"/>
      <c r="F38" s="85"/>
      <c r="G38" s="2"/>
      <c r="L38" s="2"/>
      <c r="M38" s="2"/>
      <c r="N38" s="88"/>
      <c r="O38" s="88"/>
      <c r="P38" s="2"/>
      <c r="Q38" s="2"/>
      <c r="R38" s="2"/>
      <c r="S38" s="2"/>
      <c r="T38" s="2"/>
    </row>
    <row r="39" ht="15.75" customHeight="1">
      <c r="A39" s="87"/>
      <c r="B39" s="84"/>
      <c r="F39" s="85"/>
      <c r="G39" s="2"/>
      <c r="L39" s="2"/>
      <c r="M39" s="2"/>
      <c r="N39" s="88"/>
      <c r="O39" s="88"/>
      <c r="P39" s="2"/>
      <c r="Q39" s="2"/>
      <c r="R39" s="2"/>
      <c r="S39" s="2"/>
      <c r="T39" s="2"/>
    </row>
    <row r="40" ht="15.75" customHeight="1">
      <c r="A40" s="87"/>
      <c r="B40" s="84"/>
      <c r="F40" s="85"/>
      <c r="G40" s="2"/>
      <c r="L40" s="2"/>
      <c r="M40" s="2"/>
      <c r="N40" s="88"/>
      <c r="O40" s="88"/>
      <c r="P40" s="2"/>
      <c r="Q40" s="2"/>
      <c r="R40" s="2"/>
      <c r="S40" s="2"/>
      <c r="T40" s="2"/>
    </row>
    <row r="41" ht="15.75" customHeight="1">
      <c r="A41" s="87"/>
      <c r="B41" s="84"/>
      <c r="F41" s="85"/>
      <c r="G41" s="2"/>
      <c r="L41" s="2"/>
      <c r="M41" s="2"/>
      <c r="N41" s="88"/>
      <c r="O41" s="88"/>
      <c r="P41" s="2"/>
      <c r="Q41" s="2"/>
      <c r="R41" s="2"/>
      <c r="S41" s="2"/>
      <c r="T41" s="2"/>
    </row>
    <row r="42" ht="15.75" customHeight="1">
      <c r="A42" s="87"/>
      <c r="B42" s="84"/>
      <c r="F42" s="85"/>
      <c r="G42" s="2"/>
      <c r="L42" s="2"/>
      <c r="M42" s="2"/>
      <c r="N42" s="88"/>
      <c r="O42" s="88"/>
      <c r="P42" s="2"/>
      <c r="Q42" s="2"/>
      <c r="R42" s="2"/>
      <c r="S42" s="2"/>
      <c r="T42" s="2"/>
    </row>
    <row r="43" ht="15.75" customHeight="1">
      <c r="A43" s="87"/>
      <c r="B43" s="84"/>
      <c r="F43" s="85"/>
      <c r="G43" s="2"/>
      <c r="H43" s="89"/>
      <c r="I43" s="89"/>
      <c r="J43" s="89"/>
      <c r="K43" s="89"/>
      <c r="L43" s="2"/>
      <c r="M43" s="2"/>
      <c r="N43" s="88"/>
      <c r="O43" s="88"/>
      <c r="P43" s="2"/>
      <c r="Q43" s="2"/>
      <c r="R43" s="2"/>
      <c r="S43" s="2"/>
      <c r="T43" s="2"/>
    </row>
    <row r="44" ht="15.75" customHeight="1">
      <c r="A44" s="87"/>
      <c r="B44" s="84"/>
      <c r="F44" s="85"/>
      <c r="G44" s="2"/>
      <c r="H44" s="2"/>
      <c r="I44" s="2"/>
      <c r="J44" s="2"/>
      <c r="K44" s="2"/>
      <c r="L44" s="2"/>
      <c r="M44" s="2"/>
      <c r="N44" s="88"/>
      <c r="O44" s="88"/>
      <c r="P44" s="2"/>
      <c r="Q44" s="2"/>
      <c r="R44" s="2"/>
      <c r="S44" s="2"/>
      <c r="T44" s="2"/>
    </row>
    <row r="45" ht="15.75" customHeight="1">
      <c r="A45" s="87"/>
      <c r="B45" s="90"/>
      <c r="C45" s="91"/>
      <c r="D45" s="91"/>
      <c r="E45" s="91"/>
      <c r="F45" s="92"/>
      <c r="G45" s="2"/>
      <c r="H45" s="2"/>
      <c r="I45" s="2"/>
      <c r="J45" s="2"/>
      <c r="K45" s="2"/>
      <c r="L45" s="2"/>
      <c r="M45" s="2"/>
      <c r="N45" s="88"/>
      <c r="O45" s="88"/>
      <c r="P45" s="2"/>
      <c r="Q45" s="2"/>
      <c r="R45" s="2"/>
      <c r="S45" s="2"/>
      <c r="T45" s="2"/>
    </row>
    <row r="46" ht="15.75" customHeight="1">
      <c r="A46" s="87"/>
      <c r="B46" s="93" t="s">
        <v>87</v>
      </c>
      <c r="C46" s="8"/>
      <c r="D46" s="8"/>
      <c r="E46" s="8"/>
      <c r="F46" s="9"/>
      <c r="G46" s="2"/>
      <c r="H46" s="2"/>
      <c r="I46" s="2"/>
      <c r="J46" s="2"/>
      <c r="K46" s="2"/>
      <c r="L46" s="2"/>
      <c r="M46" s="2"/>
      <c r="N46" s="88"/>
      <c r="O46" s="88"/>
      <c r="P46" s="2"/>
      <c r="Q46" s="2"/>
      <c r="R46" s="2"/>
      <c r="S46" s="2"/>
      <c r="T46" s="2"/>
    </row>
    <row r="47" ht="15.75" customHeight="1">
      <c r="A47" s="87"/>
      <c r="B47" s="87"/>
      <c r="C47" s="11"/>
      <c r="D47" s="12"/>
      <c r="E47" s="2"/>
      <c r="F47" s="2"/>
      <c r="G47" s="2"/>
      <c r="H47" s="2"/>
      <c r="I47" s="2"/>
      <c r="J47" s="2"/>
      <c r="K47" s="2"/>
      <c r="L47" s="2"/>
      <c r="M47" s="2"/>
      <c r="N47" s="88"/>
      <c r="O47" s="88"/>
      <c r="P47" s="2"/>
      <c r="Q47" s="2"/>
      <c r="R47" s="2"/>
      <c r="S47" s="2"/>
      <c r="T47" s="2"/>
    </row>
    <row r="48" ht="15.75" customHeight="1">
      <c r="A48" s="87"/>
      <c r="B48" s="2" t="s">
        <v>88</v>
      </c>
      <c r="C48" s="11"/>
      <c r="D48" s="12"/>
      <c r="E48" s="2"/>
      <c r="F48" s="2"/>
      <c r="G48" s="2"/>
      <c r="H48" s="2"/>
      <c r="I48" s="2"/>
      <c r="J48" s="2"/>
      <c r="K48" s="2"/>
      <c r="L48" s="2"/>
      <c r="M48" s="2"/>
      <c r="N48" s="88"/>
      <c r="O48" s="88"/>
      <c r="P48" s="2"/>
      <c r="Q48" s="2"/>
      <c r="R48" s="2"/>
      <c r="S48" s="2"/>
      <c r="T48" s="2"/>
    </row>
    <row r="49" ht="15.75" customHeight="1">
      <c r="A49" s="87"/>
      <c r="B49" s="2" t="s">
        <v>89</v>
      </c>
      <c r="C49" s="11"/>
      <c r="D49" s="12"/>
      <c r="E49" s="2"/>
      <c r="F49" s="2"/>
      <c r="G49" s="2"/>
      <c r="H49" s="2"/>
      <c r="I49" s="2"/>
      <c r="J49" s="2"/>
      <c r="K49" s="2"/>
      <c r="L49" s="2"/>
      <c r="M49" s="2"/>
      <c r="N49" s="88"/>
      <c r="O49" s="88"/>
      <c r="P49" s="2"/>
      <c r="Q49" s="2"/>
      <c r="R49" s="2"/>
      <c r="S49" s="2"/>
      <c r="T49" s="2"/>
    </row>
    <row r="50" ht="15.75" customHeight="1">
      <c r="A50" s="87"/>
      <c r="B50" s="2" t="s">
        <v>90</v>
      </c>
      <c r="C50" s="11"/>
      <c r="D50" s="12"/>
      <c r="E50" s="2"/>
      <c r="F50" s="2"/>
      <c r="G50" s="2"/>
      <c r="H50" s="2"/>
      <c r="I50" s="2"/>
      <c r="J50" s="2"/>
      <c r="K50" s="2"/>
      <c r="L50" s="2"/>
      <c r="M50" s="2"/>
      <c r="N50" s="88"/>
      <c r="O50" s="88"/>
      <c r="P50" s="2"/>
      <c r="Q50" s="2"/>
      <c r="R50" s="2"/>
      <c r="S50" s="2"/>
      <c r="T50" s="2"/>
    </row>
    <row r="51" ht="15.75" customHeight="1">
      <c r="A51" s="87"/>
      <c r="B51" s="2" t="s">
        <v>91</v>
      </c>
      <c r="C51" s="11"/>
      <c r="D51" s="12"/>
      <c r="E51" s="2"/>
      <c r="F51" s="2"/>
      <c r="G51" s="2"/>
      <c r="H51" s="2"/>
      <c r="I51" s="2"/>
      <c r="J51" s="2"/>
      <c r="K51" s="2"/>
      <c r="L51" s="2"/>
      <c r="M51" s="2"/>
      <c r="N51" s="88"/>
      <c r="O51" s="88"/>
      <c r="P51" s="2"/>
      <c r="Q51" s="2"/>
      <c r="R51" s="2"/>
      <c r="S51" s="2"/>
      <c r="T51" s="2"/>
    </row>
    <row r="52" ht="15.75" customHeight="1">
      <c r="A52" s="87"/>
      <c r="B52" s="87"/>
      <c r="C52" s="11"/>
      <c r="D52" s="12"/>
      <c r="E52" s="2"/>
      <c r="F52" s="2"/>
      <c r="G52" s="2"/>
      <c r="H52" s="2"/>
      <c r="I52" s="2"/>
      <c r="J52" s="2"/>
      <c r="K52" s="2"/>
      <c r="L52" s="2"/>
      <c r="M52" s="2"/>
      <c r="N52" s="88"/>
      <c r="O52" s="88"/>
      <c r="P52" s="2"/>
      <c r="Q52" s="2"/>
      <c r="R52" s="2"/>
      <c r="S52" s="2"/>
      <c r="T52" s="2"/>
    </row>
    <row r="53" ht="15.75" customHeight="1">
      <c r="A53" s="87"/>
      <c r="B53" s="87" t="s">
        <v>92</v>
      </c>
      <c r="C53" s="11"/>
      <c r="D53" s="12"/>
      <c r="E53" s="2"/>
      <c r="F53" s="2"/>
      <c r="G53" s="2"/>
      <c r="H53" s="2"/>
      <c r="I53" s="2"/>
      <c r="J53" s="2"/>
      <c r="K53" s="2"/>
      <c r="L53" s="2"/>
      <c r="M53" s="2"/>
      <c r="N53" s="88"/>
      <c r="O53" s="88"/>
      <c r="P53" s="2"/>
      <c r="Q53" s="2"/>
      <c r="R53" s="2"/>
      <c r="S53" s="2"/>
      <c r="T53" s="2"/>
    </row>
    <row r="54" ht="15.75" customHeight="1">
      <c r="A54" s="87"/>
      <c r="B54" s="87" t="s">
        <v>93</v>
      </c>
      <c r="C54" s="11"/>
      <c r="D54" s="12"/>
      <c r="E54" s="2"/>
      <c r="F54" s="2"/>
      <c r="G54" s="2"/>
      <c r="H54" s="2"/>
      <c r="I54" s="2"/>
      <c r="J54" s="2"/>
      <c r="K54" s="2"/>
      <c r="L54" s="2"/>
      <c r="M54" s="2"/>
      <c r="N54" s="88"/>
      <c r="O54" s="88"/>
      <c r="P54" s="2"/>
      <c r="Q54" s="2"/>
      <c r="R54" s="2"/>
      <c r="S54" s="2"/>
      <c r="T54" s="2"/>
    </row>
    <row r="55" ht="15.75" customHeight="1">
      <c r="A55" s="87"/>
      <c r="B55" s="87"/>
      <c r="C55" s="11"/>
      <c r="D55" s="12"/>
      <c r="E55" s="2"/>
      <c r="F55" s="2"/>
      <c r="G55" s="2"/>
      <c r="H55" s="2"/>
      <c r="I55" s="2"/>
      <c r="J55" s="2"/>
      <c r="K55" s="2"/>
      <c r="L55" s="2"/>
      <c r="M55" s="2"/>
      <c r="N55" s="88"/>
      <c r="O55" s="88"/>
      <c r="P55" s="2"/>
      <c r="Q55" s="2"/>
      <c r="R55" s="2"/>
      <c r="S55" s="2"/>
      <c r="T55" s="2"/>
    </row>
    <row r="56" ht="15.75" customHeight="1">
      <c r="A56" s="87"/>
      <c r="B56" s="87"/>
      <c r="C56" s="11"/>
      <c r="D56" s="12"/>
      <c r="E56" s="2"/>
      <c r="F56" s="2"/>
      <c r="G56" s="2"/>
      <c r="H56" s="2"/>
      <c r="I56" s="2"/>
      <c r="J56" s="2"/>
      <c r="K56" s="2"/>
      <c r="L56" s="2"/>
      <c r="M56" s="2"/>
      <c r="N56" s="88"/>
      <c r="O56" s="88"/>
      <c r="P56" s="2"/>
      <c r="Q56" s="2"/>
      <c r="R56" s="2"/>
      <c r="S56" s="2"/>
      <c r="T56" s="2"/>
    </row>
    <row r="57" ht="15.75" customHeight="1">
      <c r="A57" s="87"/>
      <c r="B57" s="87"/>
      <c r="C57" s="11"/>
      <c r="D57" s="12"/>
      <c r="E57" s="2"/>
      <c r="F57" s="2"/>
      <c r="G57" s="2"/>
      <c r="H57" s="2"/>
      <c r="I57" s="2"/>
      <c r="J57" s="2"/>
      <c r="K57" s="2"/>
      <c r="L57" s="2"/>
      <c r="M57" s="2"/>
      <c r="N57" s="88"/>
      <c r="O57" s="88"/>
      <c r="P57" s="2"/>
      <c r="Q57" s="2"/>
      <c r="R57" s="2"/>
      <c r="S57" s="2"/>
      <c r="T57" s="2"/>
    </row>
    <row r="58" ht="15.75" customHeight="1">
      <c r="A58" s="87"/>
      <c r="B58" s="87"/>
      <c r="C58" s="11"/>
      <c r="D58" s="12"/>
      <c r="E58" s="2"/>
      <c r="F58" s="2"/>
      <c r="G58" s="2"/>
      <c r="H58" s="2"/>
      <c r="I58" s="2"/>
      <c r="J58" s="2"/>
      <c r="K58" s="2"/>
      <c r="L58" s="2"/>
      <c r="M58" s="2"/>
      <c r="N58" s="88"/>
      <c r="O58" s="88"/>
      <c r="P58" s="2"/>
      <c r="Q58" s="2"/>
      <c r="R58" s="2"/>
      <c r="S58" s="2"/>
      <c r="T58" s="2"/>
    </row>
    <row r="59" ht="15.75" customHeight="1">
      <c r="A59" s="87"/>
      <c r="B59" s="87"/>
      <c r="C59" s="11"/>
      <c r="D59" s="12"/>
      <c r="E59" s="2"/>
      <c r="F59" s="2"/>
      <c r="G59" s="2"/>
      <c r="H59" s="2"/>
      <c r="I59" s="2"/>
      <c r="J59" s="2"/>
      <c r="K59" s="2"/>
      <c r="L59" s="2"/>
      <c r="M59" s="2"/>
      <c r="N59" s="88"/>
      <c r="O59" s="88"/>
      <c r="P59" s="2"/>
      <c r="Q59" s="2"/>
      <c r="R59" s="2"/>
      <c r="S59" s="2"/>
      <c r="T59" s="2"/>
    </row>
    <row r="60" ht="15.75" customHeight="1">
      <c r="A60" s="87"/>
      <c r="B60" s="87"/>
      <c r="C60" s="11"/>
      <c r="D60" s="12"/>
      <c r="E60" s="2"/>
      <c r="F60" s="2"/>
      <c r="G60" s="2"/>
      <c r="H60" s="2"/>
      <c r="I60" s="2"/>
      <c r="J60" s="2"/>
      <c r="K60" s="2"/>
      <c r="L60" s="2"/>
      <c r="M60" s="2"/>
      <c r="N60" s="88"/>
      <c r="O60" s="88"/>
      <c r="P60" s="2"/>
      <c r="Q60" s="2"/>
      <c r="R60" s="2"/>
      <c r="S60" s="2"/>
      <c r="T60" s="2"/>
    </row>
    <row r="61" ht="15.75" customHeight="1">
      <c r="A61" s="87"/>
      <c r="B61" s="87"/>
      <c r="C61" s="11"/>
      <c r="D61" s="12"/>
      <c r="E61" s="2"/>
      <c r="F61" s="2"/>
      <c r="G61" s="2"/>
      <c r="H61" s="2"/>
      <c r="I61" s="2"/>
      <c r="J61" s="2"/>
      <c r="K61" s="2"/>
      <c r="L61" s="2"/>
      <c r="M61" s="2"/>
      <c r="N61" s="88"/>
      <c r="O61" s="88"/>
      <c r="P61" s="2"/>
      <c r="Q61" s="2"/>
      <c r="R61" s="2"/>
      <c r="S61" s="2"/>
      <c r="T61" s="2"/>
    </row>
    <row r="62" ht="15.75" customHeight="1">
      <c r="A62" s="87"/>
      <c r="B62" s="87"/>
      <c r="C62" s="11"/>
      <c r="D62" s="12"/>
      <c r="E62" s="2"/>
      <c r="F62" s="2"/>
      <c r="G62" s="2"/>
      <c r="H62" s="2"/>
      <c r="I62" s="2"/>
      <c r="J62" s="2"/>
      <c r="K62" s="2"/>
      <c r="L62" s="2"/>
      <c r="M62" s="2"/>
      <c r="N62" s="88"/>
      <c r="O62" s="88"/>
      <c r="P62" s="2"/>
      <c r="Q62" s="2"/>
      <c r="R62" s="2"/>
      <c r="S62" s="2"/>
      <c r="T62" s="2"/>
    </row>
    <row r="63" ht="15.75" customHeight="1">
      <c r="A63" s="87"/>
      <c r="B63" s="87"/>
      <c r="C63" s="11"/>
      <c r="D63" s="12"/>
      <c r="E63" s="2"/>
      <c r="F63" s="2"/>
      <c r="G63" s="2"/>
      <c r="H63" s="2"/>
      <c r="I63" s="2"/>
      <c r="J63" s="2"/>
      <c r="K63" s="2"/>
      <c r="L63" s="2"/>
      <c r="M63" s="2"/>
      <c r="N63" s="88"/>
      <c r="O63" s="88"/>
      <c r="P63" s="2"/>
      <c r="Q63" s="2"/>
      <c r="R63" s="2"/>
      <c r="S63" s="2"/>
      <c r="T63" s="2"/>
    </row>
    <row r="64" ht="15.75" customHeight="1">
      <c r="A64" s="87"/>
      <c r="B64" s="87"/>
      <c r="C64" s="11"/>
      <c r="D64" s="12"/>
      <c r="E64" s="2"/>
      <c r="F64" s="2"/>
      <c r="G64" s="2"/>
      <c r="H64" s="2"/>
      <c r="I64" s="2"/>
      <c r="J64" s="2"/>
      <c r="K64" s="2"/>
      <c r="L64" s="2"/>
      <c r="M64" s="2"/>
      <c r="N64" s="88"/>
      <c r="O64" s="88"/>
      <c r="P64" s="2"/>
      <c r="Q64" s="2"/>
      <c r="R64" s="2"/>
      <c r="S64" s="2"/>
      <c r="T64" s="2"/>
    </row>
    <row r="65" ht="15.75" customHeight="1">
      <c r="A65" s="87"/>
      <c r="B65" s="87"/>
      <c r="C65" s="11"/>
      <c r="D65" s="12"/>
      <c r="E65" s="2"/>
      <c r="F65" s="2"/>
      <c r="G65" s="2"/>
      <c r="H65" s="2"/>
      <c r="I65" s="2"/>
      <c r="J65" s="2"/>
      <c r="K65" s="2"/>
      <c r="L65" s="2"/>
      <c r="M65" s="2"/>
      <c r="N65" s="88"/>
      <c r="O65" s="88"/>
      <c r="P65" s="2"/>
      <c r="Q65" s="2"/>
      <c r="R65" s="2"/>
      <c r="S65" s="2"/>
      <c r="T65" s="2"/>
    </row>
    <row r="66" ht="15.75" customHeight="1">
      <c r="A66" s="87"/>
      <c r="B66" s="87"/>
      <c r="C66" s="11"/>
      <c r="D66" s="12"/>
      <c r="E66" s="2"/>
      <c r="F66" s="2"/>
      <c r="G66" s="2"/>
      <c r="H66" s="2"/>
      <c r="I66" s="2"/>
      <c r="J66" s="2"/>
      <c r="K66" s="2"/>
      <c r="L66" s="2"/>
      <c r="M66" s="2"/>
      <c r="N66" s="88"/>
      <c r="O66" s="88"/>
      <c r="P66" s="2"/>
      <c r="Q66" s="2"/>
      <c r="R66" s="2"/>
      <c r="S66" s="2"/>
      <c r="T66" s="2"/>
    </row>
    <row r="67" ht="15.75" customHeight="1">
      <c r="A67" s="87"/>
      <c r="B67" s="87"/>
      <c r="C67" s="11"/>
      <c r="D67" s="12"/>
      <c r="E67" s="2"/>
      <c r="F67" s="2"/>
      <c r="G67" s="2"/>
      <c r="H67" s="2"/>
      <c r="I67" s="2"/>
      <c r="J67" s="2"/>
      <c r="K67" s="2"/>
      <c r="L67" s="2"/>
      <c r="M67" s="2"/>
      <c r="N67" s="88"/>
      <c r="O67" s="88"/>
      <c r="P67" s="2"/>
      <c r="Q67" s="2"/>
      <c r="R67" s="2"/>
      <c r="S67" s="2"/>
      <c r="T67" s="2"/>
    </row>
    <row r="68" ht="15.75" customHeight="1">
      <c r="A68" s="87"/>
      <c r="B68" s="87"/>
      <c r="C68" s="11"/>
      <c r="D68" s="12"/>
      <c r="E68" s="2"/>
      <c r="F68" s="2"/>
      <c r="G68" s="2"/>
      <c r="H68" s="2"/>
      <c r="I68" s="2"/>
      <c r="J68" s="2"/>
      <c r="K68" s="2"/>
      <c r="L68" s="2"/>
      <c r="M68" s="2"/>
      <c r="N68" s="88"/>
      <c r="O68" s="88"/>
      <c r="P68" s="2"/>
      <c r="Q68" s="2"/>
      <c r="R68" s="2"/>
      <c r="S68" s="2"/>
      <c r="T68" s="2"/>
    </row>
    <row r="69" ht="15.75" customHeight="1">
      <c r="A69" s="87"/>
      <c r="B69" s="87"/>
      <c r="C69" s="11"/>
      <c r="D69" s="12"/>
      <c r="E69" s="2"/>
      <c r="F69" s="2"/>
      <c r="G69" s="2"/>
      <c r="H69" s="2"/>
      <c r="I69" s="2"/>
      <c r="J69" s="2"/>
      <c r="K69" s="2"/>
      <c r="L69" s="2"/>
      <c r="M69" s="2"/>
      <c r="N69" s="88"/>
      <c r="O69" s="88"/>
      <c r="P69" s="2"/>
      <c r="Q69" s="2"/>
      <c r="R69" s="2"/>
      <c r="S69" s="2"/>
      <c r="T69" s="2"/>
    </row>
    <row r="70" ht="15.75" customHeight="1">
      <c r="A70" s="87"/>
      <c r="B70" s="87"/>
      <c r="C70" s="11"/>
      <c r="D70" s="12"/>
      <c r="E70" s="2"/>
      <c r="F70" s="2"/>
      <c r="G70" s="2"/>
      <c r="H70" s="2"/>
      <c r="I70" s="2"/>
      <c r="J70" s="2"/>
      <c r="K70" s="2"/>
      <c r="L70" s="2"/>
      <c r="M70" s="2"/>
      <c r="N70" s="88"/>
      <c r="O70" s="88"/>
      <c r="P70" s="2"/>
      <c r="Q70" s="2"/>
      <c r="R70" s="2"/>
      <c r="S70" s="2"/>
      <c r="T70" s="2"/>
    </row>
    <row r="71" ht="15.75" customHeight="1">
      <c r="A71" s="87"/>
      <c r="B71" s="87"/>
      <c r="C71" s="11"/>
      <c r="D71" s="12"/>
      <c r="E71" s="2"/>
      <c r="F71" s="2"/>
      <c r="G71" s="2"/>
      <c r="H71" s="2"/>
      <c r="I71" s="2"/>
      <c r="J71" s="2"/>
      <c r="K71" s="2"/>
      <c r="L71" s="2"/>
      <c r="M71" s="2"/>
      <c r="N71" s="88"/>
      <c r="O71" s="88"/>
      <c r="P71" s="2"/>
      <c r="Q71" s="2"/>
      <c r="R71" s="2"/>
      <c r="S71" s="2"/>
      <c r="T71" s="2"/>
    </row>
    <row r="72" ht="15.75" customHeight="1">
      <c r="A72" s="87"/>
      <c r="B72" s="87"/>
      <c r="C72" s="11"/>
      <c r="D72" s="12"/>
      <c r="E72" s="2"/>
      <c r="F72" s="2"/>
      <c r="G72" s="2"/>
      <c r="H72" s="2"/>
      <c r="I72" s="2"/>
      <c r="J72" s="2"/>
      <c r="K72" s="2"/>
      <c r="L72" s="2"/>
      <c r="M72" s="2"/>
      <c r="N72" s="88"/>
      <c r="O72" s="88"/>
      <c r="P72" s="2"/>
      <c r="Q72" s="2"/>
      <c r="R72" s="2"/>
      <c r="S72" s="2"/>
      <c r="T72" s="2"/>
    </row>
    <row r="73" ht="15.75" customHeight="1">
      <c r="A73" s="87"/>
      <c r="B73" s="87"/>
      <c r="C73" s="11"/>
      <c r="D73" s="12"/>
      <c r="E73" s="2"/>
      <c r="F73" s="2"/>
      <c r="G73" s="2"/>
      <c r="H73" s="2"/>
      <c r="I73" s="2"/>
      <c r="J73" s="2"/>
      <c r="K73" s="2"/>
      <c r="L73" s="2"/>
      <c r="M73" s="2"/>
      <c r="N73" s="88"/>
      <c r="O73" s="88"/>
      <c r="P73" s="2"/>
      <c r="Q73" s="2"/>
      <c r="R73" s="2"/>
      <c r="S73" s="2"/>
      <c r="T73" s="2"/>
    </row>
    <row r="74" ht="15.75" customHeight="1">
      <c r="A74" s="87"/>
      <c r="B74" s="87"/>
      <c r="C74" s="11"/>
      <c r="D74" s="12"/>
      <c r="E74" s="2"/>
      <c r="F74" s="2"/>
      <c r="G74" s="2"/>
      <c r="H74" s="2"/>
      <c r="I74" s="2"/>
      <c r="J74" s="2"/>
      <c r="K74" s="2"/>
      <c r="L74" s="2"/>
      <c r="M74" s="2"/>
      <c r="N74" s="88"/>
      <c r="O74" s="88"/>
      <c r="P74" s="2"/>
      <c r="Q74" s="2"/>
      <c r="R74" s="2"/>
      <c r="S74" s="2"/>
      <c r="T74" s="2"/>
    </row>
    <row r="75" ht="15.75" customHeight="1">
      <c r="A75" s="87"/>
      <c r="B75" s="87"/>
      <c r="C75" s="11"/>
      <c r="D75" s="12"/>
      <c r="E75" s="2"/>
      <c r="F75" s="2"/>
      <c r="G75" s="2"/>
      <c r="H75" s="2"/>
      <c r="I75" s="2"/>
      <c r="J75" s="2"/>
      <c r="K75" s="2"/>
      <c r="L75" s="2"/>
      <c r="M75" s="2"/>
      <c r="N75" s="88"/>
      <c r="O75" s="88"/>
      <c r="P75" s="2"/>
      <c r="Q75" s="2"/>
      <c r="R75" s="2"/>
      <c r="S75" s="2"/>
      <c r="T75" s="2"/>
    </row>
    <row r="76" ht="15.75" customHeight="1">
      <c r="A76" s="87"/>
      <c r="B76" s="87"/>
      <c r="C76" s="11"/>
      <c r="D76" s="12"/>
      <c r="E76" s="2"/>
      <c r="F76" s="2"/>
      <c r="G76" s="2"/>
      <c r="H76" s="2"/>
      <c r="I76" s="2"/>
      <c r="J76" s="2"/>
      <c r="K76" s="2"/>
      <c r="L76" s="2"/>
      <c r="M76" s="2"/>
      <c r="N76" s="88"/>
      <c r="O76" s="88"/>
      <c r="P76" s="2"/>
      <c r="Q76" s="2"/>
      <c r="R76" s="2"/>
      <c r="S76" s="2"/>
      <c r="T76" s="2"/>
    </row>
    <row r="77" ht="15.75" customHeight="1">
      <c r="A77" s="87"/>
      <c r="B77" s="87"/>
      <c r="C77" s="11"/>
      <c r="D77" s="12"/>
      <c r="E77" s="2"/>
      <c r="F77" s="2"/>
      <c r="G77" s="2"/>
      <c r="H77" s="2"/>
      <c r="I77" s="2"/>
      <c r="J77" s="2"/>
      <c r="K77" s="2"/>
      <c r="L77" s="2"/>
      <c r="M77" s="2"/>
      <c r="N77" s="88"/>
      <c r="O77" s="88"/>
      <c r="P77" s="2"/>
      <c r="Q77" s="2"/>
      <c r="R77" s="2"/>
      <c r="S77" s="2"/>
      <c r="T77" s="2"/>
    </row>
    <row r="78" ht="15.75" customHeight="1">
      <c r="A78" s="87"/>
      <c r="B78" s="87"/>
      <c r="C78" s="11"/>
      <c r="D78" s="12"/>
      <c r="E78" s="2"/>
      <c r="F78" s="2"/>
      <c r="G78" s="2"/>
      <c r="H78" s="2"/>
      <c r="I78" s="2"/>
      <c r="J78" s="2"/>
      <c r="K78" s="2"/>
      <c r="L78" s="2"/>
      <c r="M78" s="2"/>
      <c r="N78" s="88"/>
      <c r="O78" s="88"/>
      <c r="P78" s="2"/>
      <c r="Q78" s="2"/>
      <c r="R78" s="2"/>
      <c r="S78" s="2"/>
      <c r="T78" s="2"/>
    </row>
    <row r="79" ht="15.75" customHeight="1">
      <c r="A79" s="87"/>
      <c r="B79" s="87"/>
      <c r="C79" s="11"/>
      <c r="D79" s="12"/>
      <c r="E79" s="2"/>
      <c r="F79" s="2"/>
      <c r="G79" s="2"/>
      <c r="H79" s="2"/>
      <c r="I79" s="2"/>
      <c r="J79" s="2"/>
      <c r="K79" s="2"/>
      <c r="L79" s="2"/>
      <c r="M79" s="2"/>
      <c r="N79" s="88"/>
      <c r="O79" s="88"/>
      <c r="P79" s="2"/>
      <c r="Q79" s="2"/>
      <c r="R79" s="2"/>
      <c r="S79" s="2"/>
      <c r="T79" s="2"/>
    </row>
    <row r="80" ht="15.75" customHeight="1">
      <c r="A80" s="87"/>
      <c r="B80" s="87"/>
      <c r="C80" s="11"/>
      <c r="D80" s="12"/>
      <c r="E80" s="2"/>
      <c r="F80" s="2"/>
      <c r="G80" s="2"/>
      <c r="H80" s="2"/>
      <c r="I80" s="2"/>
      <c r="J80" s="2"/>
      <c r="K80" s="2"/>
      <c r="L80" s="2"/>
      <c r="M80" s="2"/>
      <c r="N80" s="88"/>
      <c r="O80" s="88"/>
      <c r="P80" s="2"/>
      <c r="Q80" s="2"/>
      <c r="R80" s="2"/>
      <c r="S80" s="2"/>
      <c r="T80" s="2"/>
    </row>
    <row r="81" ht="15.75" customHeight="1">
      <c r="A81" s="87"/>
      <c r="B81" s="87"/>
      <c r="C81" s="11"/>
      <c r="D81" s="12"/>
      <c r="E81" s="2"/>
      <c r="F81" s="2"/>
      <c r="G81" s="2"/>
      <c r="H81" s="2"/>
      <c r="I81" s="2"/>
      <c r="J81" s="2"/>
      <c r="K81" s="2"/>
      <c r="L81" s="2"/>
      <c r="M81" s="2"/>
      <c r="N81" s="88"/>
      <c r="O81" s="88"/>
      <c r="P81" s="2"/>
      <c r="Q81" s="2"/>
      <c r="R81" s="2"/>
      <c r="S81" s="2"/>
      <c r="T81" s="2"/>
    </row>
    <row r="82" ht="15.75" customHeight="1">
      <c r="A82" s="87"/>
      <c r="B82" s="87"/>
      <c r="C82" s="11"/>
      <c r="D82" s="12"/>
      <c r="E82" s="2"/>
      <c r="F82" s="2"/>
      <c r="G82" s="2"/>
      <c r="H82" s="2"/>
      <c r="I82" s="2"/>
      <c r="J82" s="2"/>
      <c r="K82" s="2"/>
      <c r="L82" s="2"/>
      <c r="M82" s="2"/>
      <c r="N82" s="88"/>
      <c r="O82" s="88"/>
      <c r="P82" s="2"/>
      <c r="Q82" s="2"/>
      <c r="R82" s="2"/>
      <c r="S82" s="2"/>
      <c r="T82" s="2"/>
    </row>
    <row r="83" ht="15.75" customHeight="1">
      <c r="A83" s="87"/>
      <c r="B83" s="87"/>
      <c r="C83" s="11"/>
      <c r="D83" s="12"/>
      <c r="E83" s="2"/>
      <c r="F83" s="2"/>
      <c r="G83" s="2"/>
      <c r="H83" s="2"/>
      <c r="I83" s="2"/>
      <c r="J83" s="2"/>
      <c r="K83" s="2"/>
      <c r="L83" s="2"/>
      <c r="M83" s="2"/>
      <c r="N83" s="88"/>
      <c r="O83" s="88"/>
      <c r="P83" s="2"/>
      <c r="Q83" s="2"/>
      <c r="R83" s="2"/>
      <c r="S83" s="2"/>
      <c r="T83" s="2"/>
    </row>
    <row r="84" ht="15.75" customHeight="1">
      <c r="A84" s="87"/>
      <c r="B84" s="87"/>
      <c r="C84" s="11"/>
      <c r="D84" s="12"/>
      <c r="E84" s="2"/>
      <c r="F84" s="2"/>
      <c r="G84" s="2"/>
      <c r="H84" s="2"/>
      <c r="I84" s="2"/>
      <c r="J84" s="2"/>
      <c r="K84" s="2"/>
      <c r="L84" s="2"/>
      <c r="M84" s="2"/>
      <c r="N84" s="88"/>
      <c r="O84" s="88"/>
      <c r="P84" s="2"/>
      <c r="Q84" s="2"/>
      <c r="R84" s="2"/>
      <c r="S84" s="2"/>
      <c r="T84" s="2"/>
    </row>
    <row r="85" ht="15.75" customHeight="1">
      <c r="A85" s="87"/>
      <c r="B85" s="87"/>
      <c r="C85" s="11"/>
      <c r="D85" s="12"/>
      <c r="E85" s="2"/>
      <c r="F85" s="2"/>
      <c r="G85" s="2"/>
      <c r="H85" s="2"/>
      <c r="I85" s="2"/>
      <c r="J85" s="2"/>
      <c r="K85" s="2"/>
      <c r="L85" s="2"/>
      <c r="M85" s="2"/>
      <c r="N85" s="88"/>
      <c r="O85" s="88"/>
      <c r="P85" s="2"/>
      <c r="Q85" s="2"/>
      <c r="R85" s="2"/>
      <c r="S85" s="2"/>
      <c r="T85" s="2"/>
    </row>
    <row r="86" ht="15.75" customHeight="1">
      <c r="A86" s="87"/>
      <c r="B86" s="87"/>
      <c r="C86" s="11"/>
      <c r="D86" s="12"/>
      <c r="E86" s="2"/>
      <c r="F86" s="2"/>
      <c r="G86" s="2"/>
      <c r="H86" s="2"/>
      <c r="I86" s="2"/>
      <c r="J86" s="2"/>
      <c r="K86" s="2"/>
      <c r="L86" s="2"/>
      <c r="M86" s="2"/>
      <c r="N86" s="88"/>
      <c r="O86" s="88"/>
      <c r="P86" s="2"/>
      <c r="Q86" s="2"/>
      <c r="R86" s="2"/>
      <c r="S86" s="2"/>
      <c r="T86" s="2"/>
    </row>
    <row r="87" ht="15.75" customHeight="1">
      <c r="A87" s="87"/>
      <c r="B87" s="87"/>
      <c r="C87" s="11"/>
      <c r="D87" s="12"/>
      <c r="E87" s="2"/>
      <c r="F87" s="2"/>
      <c r="G87" s="2"/>
      <c r="H87" s="2"/>
      <c r="I87" s="2"/>
      <c r="J87" s="2"/>
      <c r="K87" s="2"/>
      <c r="L87" s="2"/>
      <c r="M87" s="2"/>
      <c r="N87" s="88"/>
      <c r="O87" s="88"/>
      <c r="P87" s="2"/>
      <c r="Q87" s="2"/>
      <c r="R87" s="2"/>
      <c r="S87" s="2"/>
      <c r="T87" s="2"/>
    </row>
    <row r="88" ht="15.75" customHeight="1">
      <c r="A88" s="87"/>
      <c r="B88" s="87"/>
      <c r="C88" s="11"/>
      <c r="D88" s="12"/>
      <c r="E88" s="2"/>
      <c r="F88" s="2"/>
      <c r="G88" s="2"/>
      <c r="H88" s="2"/>
      <c r="I88" s="2"/>
      <c r="J88" s="2"/>
      <c r="K88" s="2"/>
      <c r="L88" s="2"/>
      <c r="M88" s="2"/>
      <c r="N88" s="88"/>
      <c r="O88" s="88"/>
      <c r="P88" s="2"/>
      <c r="Q88" s="2"/>
      <c r="R88" s="2"/>
      <c r="S88" s="2"/>
      <c r="T88" s="2"/>
    </row>
    <row r="89" ht="15.75" customHeight="1">
      <c r="A89" s="87"/>
      <c r="B89" s="87"/>
      <c r="C89" s="11"/>
      <c r="D89" s="12"/>
      <c r="E89" s="2"/>
      <c r="F89" s="2"/>
      <c r="G89" s="2"/>
      <c r="H89" s="2"/>
      <c r="I89" s="2"/>
      <c r="J89" s="2"/>
      <c r="K89" s="2"/>
      <c r="L89" s="2"/>
      <c r="M89" s="2"/>
      <c r="N89" s="88"/>
      <c r="O89" s="88"/>
      <c r="P89" s="2"/>
      <c r="Q89" s="2"/>
      <c r="R89" s="2"/>
      <c r="S89" s="2"/>
      <c r="T89" s="2"/>
    </row>
    <row r="90" ht="15.75" customHeight="1">
      <c r="A90" s="87"/>
      <c r="B90" s="87"/>
      <c r="C90" s="11"/>
      <c r="D90" s="12"/>
      <c r="E90" s="2"/>
      <c r="F90" s="2"/>
      <c r="G90" s="2"/>
      <c r="H90" s="2"/>
      <c r="I90" s="2"/>
      <c r="J90" s="2"/>
      <c r="K90" s="2"/>
      <c r="L90" s="2"/>
      <c r="M90" s="2"/>
      <c r="N90" s="88"/>
      <c r="O90" s="88"/>
      <c r="P90" s="2"/>
      <c r="Q90" s="2"/>
      <c r="R90" s="2"/>
      <c r="S90" s="2"/>
      <c r="T90" s="2"/>
    </row>
    <row r="91" ht="15.75" customHeight="1">
      <c r="A91" s="87"/>
      <c r="B91" s="87"/>
      <c r="C91" s="11"/>
      <c r="D91" s="12"/>
      <c r="E91" s="2"/>
      <c r="F91" s="2"/>
      <c r="G91" s="2"/>
      <c r="H91" s="2"/>
      <c r="I91" s="2"/>
      <c r="J91" s="2"/>
      <c r="K91" s="2"/>
      <c r="L91" s="2"/>
      <c r="M91" s="2"/>
      <c r="N91" s="88"/>
      <c r="O91" s="88"/>
      <c r="P91" s="2"/>
      <c r="Q91" s="2"/>
      <c r="R91" s="2"/>
      <c r="S91" s="2"/>
      <c r="T91" s="2"/>
    </row>
    <row r="92" ht="15.75" customHeight="1">
      <c r="A92" s="87"/>
      <c r="B92" s="87"/>
      <c r="C92" s="11"/>
      <c r="D92" s="12"/>
      <c r="E92" s="2"/>
      <c r="F92" s="2"/>
      <c r="G92" s="2"/>
      <c r="H92" s="2"/>
      <c r="I92" s="2"/>
      <c r="J92" s="2"/>
      <c r="K92" s="2"/>
      <c r="L92" s="2"/>
      <c r="M92" s="2"/>
      <c r="N92" s="88"/>
      <c r="O92" s="88"/>
      <c r="P92" s="2"/>
      <c r="Q92" s="2"/>
      <c r="R92" s="2"/>
      <c r="S92" s="2"/>
      <c r="T92" s="2"/>
    </row>
    <row r="93" ht="15.75" customHeight="1">
      <c r="A93" s="87"/>
      <c r="B93" s="87"/>
      <c r="C93" s="11"/>
      <c r="D93" s="12"/>
      <c r="E93" s="2"/>
      <c r="F93" s="2"/>
      <c r="G93" s="2"/>
      <c r="H93" s="2"/>
      <c r="I93" s="2"/>
      <c r="J93" s="2"/>
      <c r="K93" s="2"/>
      <c r="L93" s="2"/>
      <c r="M93" s="2"/>
      <c r="N93" s="88"/>
      <c r="O93" s="88"/>
      <c r="P93" s="2"/>
      <c r="Q93" s="2"/>
      <c r="R93" s="2"/>
      <c r="S93" s="2"/>
      <c r="T93" s="2"/>
    </row>
    <row r="94" ht="15.75" customHeight="1">
      <c r="A94" s="87"/>
      <c r="B94" s="87"/>
      <c r="C94" s="11"/>
      <c r="D94" s="12"/>
      <c r="E94" s="2"/>
      <c r="F94" s="2"/>
      <c r="G94" s="2"/>
      <c r="H94" s="2"/>
      <c r="I94" s="2"/>
      <c r="J94" s="2"/>
      <c r="K94" s="2"/>
      <c r="L94" s="2"/>
      <c r="M94" s="2"/>
      <c r="N94" s="88"/>
      <c r="O94" s="88"/>
      <c r="P94" s="2"/>
      <c r="Q94" s="2"/>
      <c r="R94" s="2"/>
      <c r="S94" s="2"/>
      <c r="T94" s="2"/>
    </row>
    <row r="95" ht="15.75" customHeight="1">
      <c r="A95" s="87"/>
      <c r="B95" s="87"/>
      <c r="C95" s="11"/>
      <c r="D95" s="12"/>
      <c r="E95" s="2"/>
      <c r="F95" s="2"/>
      <c r="G95" s="2"/>
      <c r="H95" s="2"/>
      <c r="I95" s="2"/>
      <c r="J95" s="2"/>
      <c r="K95" s="2"/>
      <c r="L95" s="2"/>
      <c r="M95" s="2"/>
      <c r="N95" s="88"/>
      <c r="O95" s="88"/>
      <c r="P95" s="2"/>
      <c r="Q95" s="2"/>
      <c r="R95" s="2"/>
      <c r="S95" s="2"/>
      <c r="T95" s="2"/>
    </row>
    <row r="96" ht="15.75" customHeight="1">
      <c r="A96" s="87"/>
      <c r="B96" s="87"/>
      <c r="C96" s="11"/>
      <c r="D96" s="12"/>
      <c r="E96" s="2"/>
      <c r="F96" s="2"/>
      <c r="G96" s="2"/>
      <c r="H96" s="2"/>
      <c r="I96" s="2"/>
      <c r="J96" s="2"/>
      <c r="K96" s="2"/>
      <c r="L96" s="2"/>
      <c r="M96" s="2"/>
      <c r="N96" s="88"/>
      <c r="O96" s="88"/>
      <c r="P96" s="2"/>
      <c r="Q96" s="2"/>
      <c r="R96" s="2"/>
      <c r="S96" s="2"/>
      <c r="T96" s="2"/>
    </row>
    <row r="97" ht="15.75" customHeight="1">
      <c r="A97" s="87"/>
      <c r="B97" s="87"/>
      <c r="C97" s="11"/>
      <c r="D97" s="12"/>
      <c r="E97" s="2"/>
      <c r="F97" s="2"/>
      <c r="G97" s="2"/>
      <c r="H97" s="2"/>
      <c r="I97" s="2"/>
      <c r="J97" s="2"/>
      <c r="K97" s="2"/>
      <c r="L97" s="2"/>
      <c r="M97" s="2"/>
      <c r="N97" s="88"/>
      <c r="O97" s="88"/>
      <c r="P97" s="2"/>
      <c r="Q97" s="2"/>
      <c r="R97" s="2"/>
      <c r="S97" s="2"/>
      <c r="T97" s="2"/>
    </row>
    <row r="98" ht="15.75" customHeight="1">
      <c r="A98" s="87"/>
      <c r="B98" s="87"/>
      <c r="C98" s="11"/>
      <c r="D98" s="12"/>
      <c r="E98" s="2"/>
      <c r="F98" s="2"/>
      <c r="G98" s="2"/>
      <c r="H98" s="2"/>
      <c r="I98" s="2"/>
      <c r="J98" s="2"/>
      <c r="K98" s="2"/>
      <c r="L98" s="2"/>
      <c r="M98" s="2"/>
      <c r="N98" s="88"/>
      <c r="O98" s="88"/>
      <c r="P98" s="2"/>
      <c r="Q98" s="2"/>
      <c r="R98" s="2"/>
      <c r="S98" s="2"/>
      <c r="T98" s="2"/>
    </row>
    <row r="99" ht="15.75" customHeight="1">
      <c r="A99" s="87"/>
      <c r="B99" s="87"/>
      <c r="C99" s="11"/>
      <c r="D99" s="12"/>
      <c r="E99" s="2"/>
      <c r="F99" s="2"/>
      <c r="G99" s="2"/>
      <c r="H99" s="2"/>
      <c r="I99" s="2"/>
      <c r="J99" s="2"/>
      <c r="K99" s="2"/>
      <c r="L99" s="2"/>
      <c r="M99" s="2"/>
      <c r="N99" s="88"/>
      <c r="O99" s="88"/>
      <c r="P99" s="2"/>
      <c r="Q99" s="2"/>
      <c r="R99" s="2"/>
      <c r="S99" s="2"/>
      <c r="T99" s="2"/>
    </row>
    <row r="100" ht="15.75" customHeight="1">
      <c r="A100" s="87"/>
      <c r="B100" s="87"/>
      <c r="C100" s="11"/>
      <c r="D100" s="12"/>
      <c r="E100" s="2"/>
      <c r="F100" s="2"/>
      <c r="G100" s="2"/>
      <c r="H100" s="2"/>
      <c r="I100" s="2"/>
      <c r="J100" s="2"/>
      <c r="K100" s="2"/>
      <c r="L100" s="2"/>
      <c r="M100" s="2"/>
      <c r="N100" s="88"/>
      <c r="O100" s="88"/>
      <c r="P100" s="2"/>
      <c r="Q100" s="2"/>
      <c r="R100" s="2"/>
      <c r="S100" s="2"/>
      <c r="T100" s="2"/>
    </row>
    <row r="101" ht="15.75" customHeight="1">
      <c r="A101" s="87"/>
      <c r="B101" s="87"/>
      <c r="C101" s="11"/>
      <c r="D101" s="12"/>
      <c r="E101" s="2"/>
      <c r="F101" s="2"/>
      <c r="G101" s="2"/>
      <c r="H101" s="2"/>
      <c r="I101" s="2"/>
      <c r="J101" s="2"/>
      <c r="K101" s="2"/>
      <c r="L101" s="2"/>
      <c r="M101" s="2"/>
      <c r="N101" s="88"/>
      <c r="O101" s="88"/>
      <c r="P101" s="2"/>
      <c r="Q101" s="2"/>
      <c r="R101" s="2"/>
      <c r="S101" s="2"/>
      <c r="T101" s="2"/>
    </row>
    <row r="102" ht="15.75" customHeight="1">
      <c r="A102" s="87"/>
      <c r="B102" s="87"/>
      <c r="C102" s="11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88"/>
      <c r="O102" s="88"/>
      <c r="P102" s="2"/>
      <c r="Q102" s="2"/>
      <c r="R102" s="2"/>
      <c r="S102" s="2"/>
      <c r="T102" s="2"/>
    </row>
    <row r="103" ht="15.75" customHeight="1">
      <c r="A103" s="87"/>
      <c r="B103" s="87"/>
      <c r="C103" s="11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88"/>
      <c r="O103" s="88"/>
      <c r="P103" s="2"/>
      <c r="Q103" s="2"/>
      <c r="R103" s="2"/>
      <c r="S103" s="2"/>
      <c r="T103" s="2"/>
    </row>
    <row r="104" ht="15.75" customHeight="1">
      <c r="A104" s="87"/>
      <c r="B104" s="87"/>
      <c r="C104" s="11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88"/>
      <c r="O104" s="88"/>
      <c r="P104" s="2"/>
      <c r="Q104" s="2"/>
      <c r="R104" s="2"/>
      <c r="S104" s="2"/>
      <c r="T104" s="2"/>
    </row>
    <row r="105" ht="15.75" customHeight="1">
      <c r="A105" s="87"/>
      <c r="B105" s="87"/>
      <c r="C105" s="11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88"/>
      <c r="O105" s="88"/>
      <c r="P105" s="2"/>
      <c r="Q105" s="2"/>
      <c r="R105" s="2"/>
      <c r="S105" s="2"/>
      <c r="T105" s="2"/>
    </row>
    <row r="106" ht="15.75" customHeight="1">
      <c r="A106" s="87"/>
      <c r="B106" s="87"/>
      <c r="C106" s="11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88"/>
      <c r="O106" s="88"/>
      <c r="P106" s="2"/>
      <c r="Q106" s="2"/>
      <c r="R106" s="2"/>
      <c r="S106" s="2"/>
      <c r="T106" s="2"/>
    </row>
    <row r="107" ht="15.75" customHeight="1">
      <c r="A107" s="87"/>
      <c r="B107" s="87"/>
      <c r="C107" s="11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88"/>
      <c r="O107" s="88"/>
      <c r="P107" s="2"/>
      <c r="Q107" s="2"/>
      <c r="R107" s="2"/>
      <c r="S107" s="2"/>
      <c r="T107" s="2"/>
    </row>
    <row r="108" ht="15.75" customHeight="1">
      <c r="A108" s="87"/>
      <c r="B108" s="87"/>
      <c r="C108" s="11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88"/>
      <c r="O108" s="88"/>
      <c r="P108" s="2"/>
      <c r="Q108" s="2"/>
      <c r="R108" s="2"/>
      <c r="S108" s="2"/>
      <c r="T108" s="2"/>
    </row>
    <row r="109" ht="15.75" customHeight="1">
      <c r="A109" s="87"/>
      <c r="B109" s="87"/>
      <c r="C109" s="11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88"/>
      <c r="O109" s="88"/>
      <c r="P109" s="2"/>
      <c r="Q109" s="2"/>
      <c r="R109" s="2"/>
      <c r="S109" s="2"/>
      <c r="T109" s="2"/>
    </row>
    <row r="110" ht="15.75" customHeight="1">
      <c r="A110" s="87"/>
      <c r="B110" s="87"/>
      <c r="C110" s="11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88"/>
      <c r="O110" s="88"/>
      <c r="P110" s="2"/>
      <c r="Q110" s="2"/>
      <c r="R110" s="2"/>
      <c r="S110" s="2"/>
      <c r="T110" s="2"/>
    </row>
    <row r="111" ht="15.75" customHeight="1">
      <c r="A111" s="87"/>
      <c r="B111" s="87"/>
      <c r="C111" s="11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88"/>
      <c r="O111" s="88"/>
      <c r="P111" s="2"/>
      <c r="Q111" s="2"/>
      <c r="R111" s="2"/>
      <c r="S111" s="2"/>
      <c r="T111" s="2"/>
    </row>
    <row r="112" ht="15.75" customHeight="1">
      <c r="A112" s="87"/>
      <c r="B112" s="87"/>
      <c r="C112" s="11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88"/>
      <c r="O112" s="88"/>
      <c r="P112" s="2"/>
      <c r="Q112" s="2"/>
      <c r="R112" s="2"/>
      <c r="S112" s="2"/>
      <c r="T112" s="2"/>
    </row>
    <row r="113" ht="15.75" customHeight="1">
      <c r="A113" s="87"/>
      <c r="B113" s="87"/>
      <c r="C113" s="11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88"/>
      <c r="O113" s="88"/>
      <c r="P113" s="2"/>
      <c r="Q113" s="2"/>
      <c r="R113" s="2"/>
      <c r="S113" s="2"/>
      <c r="T113" s="2"/>
    </row>
    <row r="114" ht="15.75" customHeight="1">
      <c r="A114" s="87"/>
      <c r="B114" s="87"/>
      <c r="C114" s="11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88"/>
      <c r="O114" s="88"/>
      <c r="P114" s="2"/>
      <c r="Q114" s="2"/>
      <c r="R114" s="2"/>
      <c r="S114" s="2"/>
      <c r="T114" s="2"/>
    </row>
    <row r="115" ht="15.75" customHeight="1">
      <c r="A115" s="87"/>
      <c r="B115" s="87"/>
      <c r="C115" s="11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88"/>
      <c r="O115" s="88"/>
      <c r="P115" s="2"/>
      <c r="Q115" s="2"/>
      <c r="R115" s="2"/>
      <c r="S115" s="2"/>
      <c r="T115" s="2"/>
    </row>
    <row r="116" ht="15.75" customHeight="1">
      <c r="A116" s="87"/>
      <c r="B116" s="87"/>
      <c r="C116" s="11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88"/>
      <c r="O116" s="88"/>
      <c r="P116" s="2"/>
      <c r="Q116" s="2"/>
      <c r="R116" s="2"/>
      <c r="S116" s="2"/>
      <c r="T116" s="2"/>
    </row>
    <row r="117" ht="15.75" customHeight="1">
      <c r="A117" s="87"/>
      <c r="B117" s="87"/>
      <c r="C117" s="11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88"/>
      <c r="O117" s="88"/>
      <c r="P117" s="2"/>
      <c r="Q117" s="2"/>
      <c r="R117" s="2"/>
      <c r="S117" s="2"/>
      <c r="T117" s="2"/>
    </row>
    <row r="118" ht="15.75" customHeight="1">
      <c r="A118" s="87"/>
      <c r="B118" s="87"/>
      <c r="C118" s="11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88"/>
      <c r="O118" s="88"/>
      <c r="P118" s="2"/>
      <c r="Q118" s="2"/>
      <c r="R118" s="2"/>
      <c r="S118" s="2"/>
      <c r="T118" s="2"/>
    </row>
    <row r="119" ht="15.75" customHeight="1">
      <c r="A119" s="87"/>
      <c r="B119" s="87"/>
      <c r="C119" s="11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88"/>
      <c r="O119" s="88"/>
      <c r="P119" s="2"/>
      <c r="Q119" s="2"/>
      <c r="R119" s="2"/>
      <c r="S119" s="2"/>
      <c r="T119" s="2"/>
    </row>
    <row r="120" ht="15.75" customHeight="1">
      <c r="A120" s="87"/>
      <c r="B120" s="87"/>
      <c r="C120" s="11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88"/>
      <c r="O120" s="88"/>
      <c r="P120" s="2"/>
      <c r="Q120" s="2"/>
      <c r="R120" s="2"/>
      <c r="S120" s="2"/>
      <c r="T120" s="2"/>
    </row>
    <row r="121" ht="15.75" customHeight="1">
      <c r="A121" s="87"/>
      <c r="B121" s="87"/>
      <c r="C121" s="11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88"/>
      <c r="O121" s="88"/>
      <c r="P121" s="2"/>
      <c r="Q121" s="2"/>
      <c r="R121" s="2"/>
      <c r="S121" s="2"/>
      <c r="T121" s="2"/>
    </row>
    <row r="122" ht="15.75" customHeight="1">
      <c r="A122" s="87"/>
      <c r="B122" s="87"/>
      <c r="C122" s="11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88"/>
      <c r="O122" s="88"/>
      <c r="P122" s="2"/>
      <c r="Q122" s="2"/>
      <c r="R122" s="2"/>
      <c r="S122" s="2"/>
      <c r="T122" s="2"/>
    </row>
    <row r="123" ht="15.75" customHeight="1">
      <c r="A123" s="87"/>
      <c r="B123" s="87"/>
      <c r="C123" s="11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88"/>
      <c r="O123" s="88"/>
      <c r="P123" s="2"/>
      <c r="Q123" s="2"/>
      <c r="R123" s="2"/>
      <c r="S123" s="2"/>
      <c r="T123" s="2"/>
    </row>
    <row r="124" ht="15.75" customHeight="1">
      <c r="A124" s="87"/>
      <c r="B124" s="87"/>
      <c r="C124" s="11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88"/>
      <c r="O124" s="88"/>
      <c r="P124" s="2"/>
      <c r="Q124" s="2"/>
      <c r="R124" s="2"/>
      <c r="S124" s="2"/>
      <c r="T124" s="2"/>
    </row>
    <row r="125" ht="15.75" customHeight="1">
      <c r="A125" s="87"/>
      <c r="B125" s="87"/>
      <c r="C125" s="11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88"/>
      <c r="O125" s="88"/>
      <c r="P125" s="2"/>
      <c r="Q125" s="2"/>
      <c r="R125" s="2"/>
      <c r="S125" s="2"/>
      <c r="T125" s="2"/>
    </row>
    <row r="126" ht="15.75" customHeight="1">
      <c r="A126" s="87"/>
      <c r="B126" s="87"/>
      <c r="C126" s="11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88"/>
      <c r="O126" s="88"/>
      <c r="P126" s="2"/>
      <c r="Q126" s="2"/>
      <c r="R126" s="2"/>
      <c r="S126" s="2"/>
      <c r="T126" s="2"/>
    </row>
    <row r="127" ht="15.75" customHeight="1">
      <c r="A127" s="87"/>
      <c r="B127" s="87"/>
      <c r="C127" s="11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88"/>
      <c r="O127" s="88"/>
      <c r="P127" s="2"/>
      <c r="Q127" s="2"/>
      <c r="R127" s="2"/>
      <c r="S127" s="2"/>
      <c r="T127" s="2"/>
    </row>
    <row r="128" ht="15.75" customHeight="1">
      <c r="A128" s="87"/>
      <c r="B128" s="87"/>
      <c r="C128" s="11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88"/>
      <c r="O128" s="88"/>
      <c r="P128" s="2"/>
      <c r="Q128" s="2"/>
      <c r="R128" s="2"/>
      <c r="S128" s="2"/>
      <c r="T128" s="2"/>
    </row>
    <row r="129" ht="15.75" customHeight="1">
      <c r="A129" s="87"/>
      <c r="B129" s="87"/>
      <c r="C129" s="11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88"/>
      <c r="O129" s="88"/>
      <c r="P129" s="2"/>
      <c r="Q129" s="2"/>
      <c r="R129" s="2"/>
      <c r="S129" s="2"/>
      <c r="T129" s="2"/>
    </row>
    <row r="130" ht="15.75" customHeight="1">
      <c r="A130" s="87"/>
      <c r="B130" s="87"/>
      <c r="C130" s="11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88"/>
      <c r="O130" s="88"/>
      <c r="P130" s="2"/>
      <c r="Q130" s="2"/>
      <c r="R130" s="2"/>
      <c r="S130" s="2"/>
      <c r="T130" s="2"/>
    </row>
    <row r="131" ht="15.75" customHeight="1">
      <c r="A131" s="87"/>
      <c r="B131" s="87"/>
      <c r="C131" s="11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88"/>
      <c r="O131" s="88"/>
      <c r="P131" s="2"/>
      <c r="Q131" s="2"/>
      <c r="R131" s="2"/>
      <c r="S131" s="2"/>
      <c r="T131" s="2"/>
    </row>
    <row r="132" ht="15.75" customHeight="1">
      <c r="A132" s="87"/>
      <c r="B132" s="87"/>
      <c r="C132" s="11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88"/>
      <c r="O132" s="88"/>
      <c r="P132" s="2"/>
      <c r="Q132" s="2"/>
      <c r="R132" s="2"/>
      <c r="S132" s="2"/>
      <c r="T132" s="2"/>
    </row>
    <row r="133" ht="15.75" customHeight="1">
      <c r="A133" s="87"/>
      <c r="B133" s="87"/>
      <c r="C133" s="11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88"/>
      <c r="O133" s="88"/>
      <c r="P133" s="2"/>
      <c r="Q133" s="2"/>
      <c r="R133" s="2"/>
      <c r="S133" s="2"/>
      <c r="T133" s="2"/>
    </row>
    <row r="134" ht="15.75" customHeight="1">
      <c r="A134" s="87"/>
      <c r="B134" s="87"/>
      <c r="C134" s="11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88"/>
      <c r="O134" s="88"/>
      <c r="P134" s="2"/>
      <c r="Q134" s="2"/>
      <c r="R134" s="2"/>
      <c r="S134" s="2"/>
      <c r="T134" s="2"/>
    </row>
    <row r="135" ht="15.75" customHeight="1">
      <c r="A135" s="87"/>
      <c r="B135" s="87"/>
      <c r="C135" s="11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88"/>
      <c r="O135" s="88"/>
      <c r="P135" s="2"/>
      <c r="Q135" s="2"/>
      <c r="R135" s="2"/>
      <c r="S135" s="2"/>
      <c r="T135" s="2"/>
    </row>
    <row r="136" ht="15.75" customHeight="1">
      <c r="A136" s="87"/>
      <c r="B136" s="87"/>
      <c r="C136" s="11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88"/>
      <c r="O136" s="88"/>
      <c r="P136" s="2"/>
      <c r="Q136" s="2"/>
      <c r="R136" s="2"/>
      <c r="S136" s="2"/>
      <c r="T136" s="2"/>
    </row>
    <row r="137" ht="15.75" customHeight="1">
      <c r="A137" s="87"/>
      <c r="B137" s="87"/>
      <c r="C137" s="11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88"/>
      <c r="O137" s="88"/>
      <c r="P137" s="2"/>
      <c r="Q137" s="2"/>
      <c r="R137" s="2"/>
      <c r="S137" s="2"/>
      <c r="T137" s="2"/>
    </row>
    <row r="138" ht="15.75" customHeight="1">
      <c r="A138" s="87"/>
      <c r="B138" s="87"/>
      <c r="C138" s="11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88"/>
      <c r="O138" s="88"/>
      <c r="P138" s="2"/>
      <c r="Q138" s="2"/>
      <c r="R138" s="2"/>
      <c r="S138" s="2"/>
      <c r="T138" s="2"/>
    </row>
    <row r="139" ht="15.75" customHeight="1">
      <c r="A139" s="87"/>
      <c r="B139" s="87"/>
      <c r="C139" s="11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88"/>
      <c r="O139" s="88"/>
      <c r="P139" s="2"/>
      <c r="Q139" s="2"/>
      <c r="R139" s="2"/>
      <c r="S139" s="2"/>
      <c r="T139" s="2"/>
    </row>
    <row r="140" ht="15.75" customHeight="1">
      <c r="A140" s="87"/>
      <c r="B140" s="87"/>
      <c r="C140" s="11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88"/>
      <c r="O140" s="88"/>
      <c r="P140" s="2"/>
      <c r="Q140" s="2"/>
      <c r="R140" s="2"/>
      <c r="S140" s="2"/>
      <c r="T140" s="2"/>
    </row>
    <row r="141" ht="15.75" customHeight="1">
      <c r="A141" s="87"/>
      <c r="B141" s="87"/>
      <c r="C141" s="11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88"/>
      <c r="O141" s="88"/>
      <c r="P141" s="2"/>
      <c r="Q141" s="2"/>
      <c r="R141" s="2"/>
      <c r="S141" s="2"/>
      <c r="T141" s="2"/>
    </row>
    <row r="142" ht="15.75" customHeight="1">
      <c r="A142" s="87"/>
      <c r="B142" s="87"/>
      <c r="C142" s="11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88"/>
      <c r="O142" s="88"/>
      <c r="P142" s="2"/>
      <c r="Q142" s="2"/>
      <c r="R142" s="2"/>
      <c r="S142" s="2"/>
      <c r="T142" s="2"/>
    </row>
    <row r="143" ht="15.75" customHeight="1">
      <c r="A143" s="87"/>
      <c r="B143" s="87"/>
      <c r="C143" s="11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88"/>
      <c r="O143" s="88"/>
      <c r="P143" s="2"/>
      <c r="Q143" s="2"/>
      <c r="R143" s="2"/>
      <c r="S143" s="2"/>
      <c r="T143" s="2"/>
    </row>
    <row r="144" ht="15.75" customHeight="1">
      <c r="A144" s="87"/>
      <c r="B144" s="87"/>
      <c r="C144" s="11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88"/>
      <c r="O144" s="88"/>
      <c r="P144" s="2"/>
      <c r="Q144" s="2"/>
      <c r="R144" s="2"/>
      <c r="S144" s="2"/>
      <c r="T144" s="2"/>
    </row>
    <row r="145" ht="15.75" customHeight="1">
      <c r="A145" s="87"/>
      <c r="B145" s="87"/>
      <c r="C145" s="11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88"/>
      <c r="O145" s="88"/>
      <c r="P145" s="2"/>
      <c r="Q145" s="2"/>
      <c r="R145" s="2"/>
      <c r="S145" s="2"/>
      <c r="T145" s="2"/>
    </row>
    <row r="146" ht="15.75" customHeight="1">
      <c r="A146" s="87"/>
      <c r="B146" s="87"/>
      <c r="C146" s="11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88"/>
      <c r="O146" s="88"/>
      <c r="P146" s="2"/>
      <c r="Q146" s="2"/>
      <c r="R146" s="2"/>
      <c r="S146" s="2"/>
      <c r="T146" s="2"/>
    </row>
    <row r="147" ht="15.75" customHeight="1">
      <c r="A147" s="87"/>
      <c r="B147" s="87"/>
      <c r="C147" s="11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88"/>
      <c r="O147" s="88"/>
      <c r="P147" s="2"/>
      <c r="Q147" s="2"/>
      <c r="R147" s="2"/>
      <c r="S147" s="2"/>
      <c r="T147" s="2"/>
    </row>
    <row r="148" ht="15.75" customHeight="1">
      <c r="A148" s="87"/>
      <c r="B148" s="87"/>
      <c r="C148" s="11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88"/>
      <c r="O148" s="88"/>
      <c r="P148" s="2"/>
      <c r="Q148" s="2"/>
      <c r="R148" s="2"/>
      <c r="S148" s="2"/>
      <c r="T148" s="2"/>
    </row>
    <row r="149" ht="15.75" customHeight="1">
      <c r="A149" s="87"/>
      <c r="B149" s="87"/>
      <c r="C149" s="11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88"/>
      <c r="O149" s="88"/>
      <c r="P149" s="2"/>
      <c r="Q149" s="2"/>
      <c r="R149" s="2"/>
      <c r="S149" s="2"/>
      <c r="T149" s="2"/>
    </row>
    <row r="150" ht="15.75" customHeight="1">
      <c r="A150" s="87"/>
      <c r="B150" s="87"/>
      <c r="C150" s="11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88"/>
      <c r="O150" s="88"/>
      <c r="P150" s="2"/>
      <c r="Q150" s="2"/>
      <c r="R150" s="2"/>
      <c r="S150" s="2"/>
      <c r="T150" s="2"/>
    </row>
    <row r="151" ht="15.75" customHeight="1">
      <c r="A151" s="87"/>
      <c r="B151" s="87"/>
      <c r="C151" s="11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88"/>
      <c r="O151" s="88"/>
      <c r="P151" s="2"/>
      <c r="Q151" s="2"/>
      <c r="R151" s="2"/>
      <c r="S151" s="2"/>
      <c r="T151" s="2"/>
    </row>
    <row r="152" ht="15.75" customHeight="1">
      <c r="A152" s="87"/>
      <c r="B152" s="87"/>
      <c r="C152" s="11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88"/>
      <c r="O152" s="88"/>
      <c r="P152" s="2"/>
      <c r="Q152" s="2"/>
      <c r="R152" s="2"/>
      <c r="S152" s="2"/>
      <c r="T152" s="2"/>
    </row>
    <row r="153" ht="15.75" customHeight="1">
      <c r="A153" s="87"/>
      <c r="B153" s="87"/>
      <c r="C153" s="11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88"/>
      <c r="O153" s="88"/>
      <c r="P153" s="2"/>
      <c r="Q153" s="2"/>
      <c r="R153" s="2"/>
      <c r="S153" s="2"/>
      <c r="T153" s="2"/>
    </row>
    <row r="154" ht="15.75" customHeight="1">
      <c r="A154" s="87"/>
      <c r="B154" s="87"/>
      <c r="C154" s="11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88"/>
      <c r="O154" s="88"/>
      <c r="P154" s="2"/>
      <c r="Q154" s="2"/>
      <c r="R154" s="2"/>
      <c r="S154" s="2"/>
      <c r="T154" s="2"/>
    </row>
    <row r="155" ht="15.75" customHeight="1">
      <c r="A155" s="87"/>
      <c r="B155" s="87"/>
      <c r="C155" s="11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88"/>
      <c r="O155" s="88"/>
      <c r="P155" s="2"/>
      <c r="Q155" s="2"/>
      <c r="R155" s="2"/>
      <c r="S155" s="2"/>
      <c r="T155" s="2"/>
    </row>
    <row r="156" ht="15.75" customHeight="1">
      <c r="A156" s="87"/>
      <c r="B156" s="87"/>
      <c r="C156" s="11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88"/>
      <c r="O156" s="88"/>
      <c r="P156" s="2"/>
      <c r="Q156" s="2"/>
      <c r="R156" s="2"/>
      <c r="S156" s="2"/>
      <c r="T156" s="2"/>
    </row>
    <row r="157" ht="15.75" customHeight="1">
      <c r="A157" s="87"/>
      <c r="B157" s="87"/>
      <c r="C157" s="11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88"/>
      <c r="O157" s="88"/>
      <c r="P157" s="2"/>
      <c r="Q157" s="2"/>
      <c r="R157" s="2"/>
      <c r="S157" s="2"/>
      <c r="T157" s="2"/>
    </row>
    <row r="158" ht="15.75" customHeight="1">
      <c r="A158" s="87"/>
      <c r="B158" s="87"/>
      <c r="C158" s="11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88"/>
      <c r="O158" s="88"/>
      <c r="P158" s="2"/>
      <c r="Q158" s="2"/>
      <c r="R158" s="2"/>
      <c r="S158" s="2"/>
      <c r="T158" s="2"/>
    </row>
    <row r="159" ht="15.75" customHeight="1">
      <c r="A159" s="87"/>
      <c r="B159" s="87"/>
      <c r="C159" s="11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88"/>
      <c r="O159" s="88"/>
      <c r="P159" s="2"/>
      <c r="Q159" s="2"/>
      <c r="R159" s="2"/>
      <c r="S159" s="2"/>
      <c r="T159" s="2"/>
    </row>
    <row r="160" ht="15.75" customHeight="1">
      <c r="A160" s="87"/>
      <c r="B160" s="87"/>
      <c r="C160" s="11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88"/>
      <c r="O160" s="88"/>
      <c r="P160" s="2"/>
      <c r="Q160" s="2"/>
      <c r="R160" s="2"/>
      <c r="S160" s="2"/>
      <c r="T160" s="2"/>
    </row>
    <row r="161" ht="15.75" customHeight="1">
      <c r="A161" s="87"/>
      <c r="B161" s="87"/>
      <c r="C161" s="11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88"/>
      <c r="O161" s="88"/>
      <c r="P161" s="2"/>
      <c r="Q161" s="2"/>
      <c r="R161" s="2"/>
      <c r="S161" s="2"/>
      <c r="T161" s="2"/>
    </row>
    <row r="162" ht="15.75" customHeight="1">
      <c r="A162" s="87"/>
      <c r="B162" s="87"/>
      <c r="C162" s="11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88"/>
      <c r="O162" s="88"/>
      <c r="P162" s="2"/>
      <c r="Q162" s="2"/>
      <c r="R162" s="2"/>
      <c r="S162" s="2"/>
      <c r="T162" s="2"/>
    </row>
    <row r="163" ht="15.75" customHeight="1">
      <c r="A163" s="87"/>
      <c r="B163" s="87"/>
      <c r="C163" s="11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88"/>
      <c r="O163" s="88"/>
      <c r="P163" s="2"/>
      <c r="Q163" s="2"/>
      <c r="R163" s="2"/>
      <c r="S163" s="2"/>
      <c r="T163" s="2"/>
    </row>
    <row r="164" ht="15.75" customHeight="1">
      <c r="A164" s="87"/>
      <c r="B164" s="87"/>
      <c r="C164" s="11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88"/>
      <c r="O164" s="88"/>
      <c r="P164" s="2"/>
      <c r="Q164" s="2"/>
      <c r="R164" s="2"/>
      <c r="S164" s="2"/>
      <c r="T164" s="2"/>
    </row>
    <row r="165" ht="15.75" customHeight="1">
      <c r="A165" s="87"/>
      <c r="B165" s="87"/>
      <c r="C165" s="11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88"/>
      <c r="O165" s="88"/>
      <c r="P165" s="2"/>
      <c r="Q165" s="2"/>
      <c r="R165" s="2"/>
      <c r="S165" s="2"/>
      <c r="T165" s="2"/>
    </row>
    <row r="166" ht="15.75" customHeight="1">
      <c r="A166" s="87"/>
      <c r="B166" s="87"/>
      <c r="C166" s="11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88"/>
      <c r="O166" s="88"/>
      <c r="P166" s="2"/>
      <c r="Q166" s="2"/>
      <c r="R166" s="2"/>
      <c r="S166" s="2"/>
      <c r="T166" s="2"/>
    </row>
    <row r="167" ht="15.75" customHeight="1">
      <c r="A167" s="87"/>
      <c r="B167" s="87"/>
      <c r="C167" s="11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88"/>
      <c r="O167" s="88"/>
      <c r="P167" s="2"/>
      <c r="Q167" s="2"/>
      <c r="R167" s="2"/>
      <c r="S167" s="2"/>
      <c r="T167" s="2"/>
    </row>
    <row r="168" ht="15.75" customHeight="1">
      <c r="A168" s="87"/>
      <c r="B168" s="87"/>
      <c r="C168" s="11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88"/>
      <c r="O168" s="88"/>
      <c r="P168" s="2"/>
      <c r="Q168" s="2"/>
      <c r="R168" s="2"/>
      <c r="S168" s="2"/>
      <c r="T168" s="2"/>
    </row>
    <row r="169" ht="15.75" customHeight="1">
      <c r="A169" s="87"/>
      <c r="B169" s="87"/>
      <c r="C169" s="11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88"/>
      <c r="O169" s="88"/>
      <c r="P169" s="2"/>
      <c r="Q169" s="2"/>
      <c r="R169" s="2"/>
      <c r="S169" s="2"/>
      <c r="T169" s="2"/>
    </row>
    <row r="170" ht="15.75" customHeight="1">
      <c r="A170" s="87"/>
      <c r="B170" s="87"/>
      <c r="C170" s="11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88"/>
      <c r="O170" s="88"/>
      <c r="P170" s="2"/>
      <c r="Q170" s="2"/>
      <c r="R170" s="2"/>
      <c r="S170" s="2"/>
      <c r="T170" s="2"/>
    </row>
    <row r="171" ht="15.75" customHeight="1">
      <c r="A171" s="87"/>
      <c r="B171" s="87"/>
      <c r="C171" s="11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88"/>
      <c r="O171" s="88"/>
      <c r="P171" s="2"/>
      <c r="Q171" s="2"/>
      <c r="R171" s="2"/>
      <c r="S171" s="2"/>
      <c r="T171" s="2"/>
    </row>
    <row r="172" ht="15.75" customHeight="1">
      <c r="A172" s="87"/>
      <c r="B172" s="87"/>
      <c r="C172" s="11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88"/>
      <c r="O172" s="88"/>
      <c r="P172" s="2"/>
      <c r="Q172" s="2"/>
      <c r="R172" s="2"/>
      <c r="S172" s="2"/>
      <c r="T172" s="2"/>
    </row>
    <row r="173" ht="15.75" customHeight="1">
      <c r="A173" s="87"/>
      <c r="B173" s="87"/>
      <c r="C173" s="11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88"/>
      <c r="O173" s="88"/>
      <c r="P173" s="2"/>
      <c r="Q173" s="2"/>
      <c r="R173" s="2"/>
      <c r="S173" s="2"/>
      <c r="T173" s="2"/>
    </row>
    <row r="174" ht="15.75" customHeight="1">
      <c r="A174" s="87"/>
      <c r="B174" s="87"/>
      <c r="C174" s="11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88"/>
      <c r="O174" s="88"/>
      <c r="P174" s="2"/>
      <c r="Q174" s="2"/>
      <c r="R174" s="2"/>
      <c r="S174" s="2"/>
      <c r="T174" s="2"/>
    </row>
    <row r="175" ht="15.75" customHeight="1">
      <c r="A175" s="87"/>
      <c r="B175" s="87"/>
      <c r="C175" s="11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88"/>
      <c r="O175" s="88"/>
      <c r="P175" s="2"/>
      <c r="Q175" s="2"/>
      <c r="R175" s="2"/>
      <c r="S175" s="2"/>
      <c r="T175" s="2"/>
    </row>
    <row r="176" ht="15.75" customHeight="1">
      <c r="A176" s="87"/>
      <c r="B176" s="87"/>
      <c r="C176" s="11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88"/>
      <c r="O176" s="88"/>
      <c r="P176" s="2"/>
      <c r="Q176" s="2"/>
      <c r="R176" s="2"/>
      <c r="S176" s="2"/>
      <c r="T176" s="2"/>
    </row>
    <row r="177" ht="15.75" customHeight="1">
      <c r="A177" s="87"/>
      <c r="B177" s="87"/>
      <c r="C177" s="11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88"/>
      <c r="O177" s="88"/>
      <c r="P177" s="2"/>
      <c r="Q177" s="2"/>
      <c r="R177" s="2"/>
      <c r="S177" s="2"/>
      <c r="T177" s="2"/>
    </row>
    <row r="178" ht="15.75" customHeight="1">
      <c r="A178" s="87"/>
      <c r="B178" s="87"/>
      <c r="C178" s="11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88"/>
      <c r="O178" s="88"/>
      <c r="P178" s="2"/>
      <c r="Q178" s="2"/>
      <c r="R178" s="2"/>
      <c r="S178" s="2"/>
      <c r="T178" s="2"/>
    </row>
    <row r="179" ht="15.75" customHeight="1">
      <c r="A179" s="87"/>
      <c r="B179" s="87"/>
      <c r="C179" s="11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88"/>
      <c r="O179" s="88"/>
      <c r="P179" s="2"/>
      <c r="Q179" s="2"/>
      <c r="R179" s="2"/>
      <c r="S179" s="2"/>
      <c r="T179" s="2"/>
    </row>
    <row r="180" ht="15.75" customHeight="1">
      <c r="A180" s="87"/>
      <c r="B180" s="87"/>
      <c r="C180" s="11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88"/>
      <c r="O180" s="88"/>
      <c r="P180" s="2"/>
      <c r="Q180" s="2"/>
      <c r="R180" s="2"/>
      <c r="S180" s="2"/>
      <c r="T180" s="2"/>
    </row>
    <row r="181" ht="15.75" customHeight="1">
      <c r="A181" s="87"/>
      <c r="B181" s="87"/>
      <c r="C181" s="11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88"/>
      <c r="O181" s="88"/>
      <c r="P181" s="2"/>
      <c r="Q181" s="2"/>
      <c r="R181" s="2"/>
      <c r="S181" s="2"/>
      <c r="T181" s="2"/>
    </row>
    <row r="182" ht="15.75" customHeight="1">
      <c r="A182" s="87"/>
      <c r="B182" s="87"/>
      <c r="C182" s="11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88"/>
      <c r="O182" s="88"/>
      <c r="P182" s="2"/>
      <c r="Q182" s="2"/>
      <c r="R182" s="2"/>
      <c r="S182" s="2"/>
      <c r="T182" s="2"/>
    </row>
    <row r="183" ht="15.75" customHeight="1">
      <c r="A183" s="87"/>
      <c r="B183" s="87"/>
      <c r="C183" s="11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88"/>
      <c r="O183" s="88"/>
      <c r="P183" s="2"/>
      <c r="Q183" s="2"/>
      <c r="R183" s="2"/>
      <c r="S183" s="2"/>
      <c r="T183" s="2"/>
    </row>
    <row r="184" ht="15.75" customHeight="1">
      <c r="A184" s="87"/>
      <c r="B184" s="87"/>
      <c r="C184" s="11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88"/>
      <c r="O184" s="88"/>
      <c r="P184" s="2"/>
      <c r="Q184" s="2"/>
      <c r="R184" s="2"/>
      <c r="S184" s="2"/>
      <c r="T184" s="2"/>
    </row>
    <row r="185" ht="15.75" customHeight="1">
      <c r="A185" s="87"/>
      <c r="B185" s="87"/>
      <c r="C185" s="11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88"/>
      <c r="O185" s="88"/>
      <c r="P185" s="2"/>
      <c r="Q185" s="2"/>
      <c r="R185" s="2"/>
      <c r="S185" s="2"/>
      <c r="T185" s="2"/>
    </row>
    <row r="186" ht="15.75" customHeight="1">
      <c r="A186" s="87"/>
      <c r="B186" s="87"/>
      <c r="C186" s="11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88"/>
      <c r="O186" s="88"/>
      <c r="P186" s="2"/>
      <c r="Q186" s="2"/>
      <c r="R186" s="2"/>
      <c r="S186" s="2"/>
      <c r="T186" s="2"/>
    </row>
    <row r="187" ht="15.75" customHeight="1">
      <c r="A187" s="87"/>
      <c r="B187" s="87"/>
      <c r="C187" s="11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88"/>
      <c r="O187" s="88"/>
      <c r="P187" s="2"/>
      <c r="Q187" s="2"/>
      <c r="R187" s="2"/>
      <c r="S187" s="2"/>
      <c r="T187" s="2"/>
    </row>
    <row r="188" ht="15.75" customHeight="1">
      <c r="A188" s="87"/>
      <c r="B188" s="87"/>
      <c r="C188" s="11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88"/>
      <c r="O188" s="88"/>
      <c r="P188" s="2"/>
      <c r="Q188" s="2"/>
      <c r="R188" s="2"/>
      <c r="S188" s="2"/>
      <c r="T188" s="2"/>
    </row>
    <row r="189" ht="15.75" customHeight="1">
      <c r="A189" s="87"/>
      <c r="B189" s="87"/>
      <c r="C189" s="11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88"/>
      <c r="O189" s="88"/>
      <c r="P189" s="2"/>
      <c r="Q189" s="2"/>
      <c r="R189" s="2"/>
      <c r="S189" s="2"/>
      <c r="T189" s="2"/>
    </row>
    <row r="190" ht="15.75" customHeight="1">
      <c r="A190" s="87"/>
      <c r="B190" s="87"/>
      <c r="C190" s="11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88"/>
      <c r="O190" s="88"/>
      <c r="P190" s="2"/>
      <c r="Q190" s="2"/>
      <c r="R190" s="2"/>
      <c r="S190" s="2"/>
      <c r="T190" s="2"/>
    </row>
    <row r="191" ht="15.75" customHeight="1">
      <c r="A191" s="87"/>
      <c r="B191" s="87"/>
      <c r="C191" s="11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88"/>
      <c r="O191" s="88"/>
      <c r="P191" s="2"/>
      <c r="Q191" s="2"/>
      <c r="R191" s="2"/>
      <c r="S191" s="2"/>
      <c r="T191" s="2"/>
    </row>
    <row r="192" ht="15.75" customHeight="1">
      <c r="A192" s="87"/>
      <c r="B192" s="87"/>
      <c r="C192" s="11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88"/>
      <c r="O192" s="88"/>
      <c r="P192" s="2"/>
      <c r="Q192" s="2"/>
      <c r="R192" s="2"/>
      <c r="S192" s="2"/>
      <c r="T192" s="2"/>
    </row>
    <row r="193" ht="15.75" customHeight="1">
      <c r="A193" s="87"/>
      <c r="B193" s="87"/>
      <c r="C193" s="11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88"/>
      <c r="O193" s="88"/>
      <c r="P193" s="2"/>
      <c r="Q193" s="2"/>
      <c r="R193" s="2"/>
      <c r="S193" s="2"/>
      <c r="T193" s="2"/>
    </row>
    <row r="194" ht="15.75" customHeight="1">
      <c r="A194" s="87"/>
      <c r="B194" s="87"/>
      <c r="C194" s="11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88"/>
      <c r="O194" s="88"/>
      <c r="P194" s="2"/>
      <c r="Q194" s="2"/>
      <c r="R194" s="2"/>
      <c r="S194" s="2"/>
      <c r="T194" s="2"/>
    </row>
    <row r="195" ht="15.75" customHeight="1">
      <c r="A195" s="87"/>
      <c r="B195" s="87"/>
      <c r="C195" s="11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88"/>
      <c r="O195" s="88"/>
      <c r="P195" s="2"/>
      <c r="Q195" s="2"/>
      <c r="R195" s="2"/>
      <c r="S195" s="2"/>
      <c r="T195" s="2"/>
    </row>
    <row r="196" ht="15.75" customHeight="1">
      <c r="A196" s="87"/>
      <c r="B196" s="87"/>
      <c r="C196" s="11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88"/>
      <c r="O196" s="88"/>
      <c r="P196" s="2"/>
      <c r="Q196" s="2"/>
      <c r="R196" s="2"/>
      <c r="S196" s="2"/>
      <c r="T196" s="2"/>
    </row>
    <row r="197" ht="15.75" customHeight="1">
      <c r="A197" s="87"/>
      <c r="B197" s="87"/>
      <c r="C197" s="11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88"/>
      <c r="O197" s="88"/>
      <c r="P197" s="2"/>
      <c r="Q197" s="2"/>
      <c r="R197" s="2"/>
      <c r="S197" s="2"/>
      <c r="T197" s="2"/>
    </row>
    <row r="198" ht="15.75" customHeight="1">
      <c r="A198" s="87"/>
      <c r="B198" s="87"/>
      <c r="C198" s="11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88"/>
      <c r="O198" s="88"/>
      <c r="P198" s="2"/>
      <c r="Q198" s="2"/>
      <c r="R198" s="2"/>
      <c r="S198" s="2"/>
      <c r="T198" s="2"/>
    </row>
    <row r="199" ht="15.75" customHeight="1">
      <c r="A199" s="87"/>
      <c r="B199" s="87"/>
      <c r="C199" s="11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88"/>
      <c r="O199" s="88"/>
      <c r="P199" s="2"/>
      <c r="Q199" s="2"/>
      <c r="R199" s="2"/>
      <c r="S199" s="2"/>
      <c r="T199" s="2"/>
    </row>
    <row r="200" ht="15.75" customHeight="1">
      <c r="A200" s="87"/>
      <c r="B200" s="87"/>
      <c r="C200" s="11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88"/>
      <c r="O200" s="88"/>
      <c r="P200" s="2"/>
      <c r="Q200" s="2"/>
      <c r="R200" s="2"/>
      <c r="S200" s="2"/>
      <c r="T200" s="2"/>
    </row>
    <row r="201" ht="15.75" customHeight="1">
      <c r="A201" s="87"/>
      <c r="B201" s="87"/>
      <c r="C201" s="11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88"/>
      <c r="O201" s="88"/>
      <c r="P201" s="2"/>
      <c r="Q201" s="2"/>
      <c r="R201" s="2"/>
      <c r="S201" s="2"/>
      <c r="T201" s="2"/>
    </row>
    <row r="202" ht="15.75" customHeight="1">
      <c r="A202" s="87"/>
      <c r="B202" s="87"/>
      <c r="C202" s="11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88"/>
      <c r="O202" s="88"/>
      <c r="P202" s="2"/>
      <c r="Q202" s="2"/>
      <c r="R202" s="2"/>
      <c r="S202" s="2"/>
      <c r="T202" s="2"/>
    </row>
    <row r="203" ht="15.75" customHeight="1">
      <c r="A203" s="87"/>
      <c r="B203" s="87"/>
      <c r="C203" s="11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88"/>
      <c r="O203" s="88"/>
      <c r="P203" s="2"/>
      <c r="Q203" s="2"/>
      <c r="R203" s="2"/>
      <c r="S203" s="2"/>
      <c r="T203" s="2"/>
    </row>
    <row r="204" ht="15.75" customHeight="1">
      <c r="A204" s="87"/>
      <c r="B204" s="87"/>
      <c r="C204" s="11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88"/>
      <c r="O204" s="88"/>
      <c r="P204" s="2"/>
      <c r="Q204" s="2"/>
      <c r="R204" s="2"/>
      <c r="S204" s="2"/>
      <c r="T204" s="2"/>
    </row>
    <row r="205" ht="15.75" customHeight="1">
      <c r="A205" s="87"/>
      <c r="B205" s="87"/>
      <c r="C205" s="11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88"/>
      <c r="O205" s="88"/>
      <c r="P205" s="2"/>
      <c r="Q205" s="2"/>
      <c r="R205" s="2"/>
      <c r="S205" s="2"/>
      <c r="T205" s="2"/>
    </row>
    <row r="206" ht="15.75" customHeight="1">
      <c r="A206" s="87"/>
      <c r="B206" s="87"/>
      <c r="C206" s="11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88"/>
      <c r="O206" s="88"/>
      <c r="P206" s="2"/>
      <c r="Q206" s="2"/>
      <c r="R206" s="2"/>
      <c r="S206" s="2"/>
      <c r="T206" s="2"/>
    </row>
    <row r="207" ht="15.75" customHeight="1">
      <c r="A207" s="87"/>
      <c r="B207" s="87"/>
      <c r="C207" s="11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88"/>
      <c r="O207" s="88"/>
      <c r="P207" s="2"/>
      <c r="Q207" s="2"/>
      <c r="R207" s="2"/>
      <c r="S207" s="2"/>
      <c r="T207" s="2"/>
    </row>
    <row r="208" ht="15.75" customHeight="1">
      <c r="A208" s="87"/>
      <c r="B208" s="87"/>
      <c r="C208" s="11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88"/>
      <c r="O208" s="88"/>
      <c r="P208" s="2"/>
      <c r="Q208" s="2"/>
      <c r="R208" s="2"/>
      <c r="S208" s="2"/>
      <c r="T208" s="2"/>
    </row>
    <row r="209" ht="15.75" customHeight="1">
      <c r="A209" s="87"/>
      <c r="B209" s="87"/>
      <c r="C209" s="11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88"/>
      <c r="O209" s="88"/>
      <c r="P209" s="2"/>
      <c r="Q209" s="2"/>
      <c r="R209" s="2"/>
      <c r="S209" s="2"/>
      <c r="T209" s="2"/>
    </row>
    <row r="210" ht="15.75" customHeight="1">
      <c r="A210" s="87"/>
      <c r="B210" s="87"/>
      <c r="C210" s="11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88"/>
      <c r="O210" s="88"/>
      <c r="P210" s="2"/>
      <c r="Q210" s="2"/>
      <c r="R210" s="2"/>
      <c r="S210" s="2"/>
      <c r="T210" s="2"/>
    </row>
    <row r="211" ht="15.75" customHeight="1">
      <c r="A211" s="87"/>
      <c r="B211" s="87"/>
      <c r="C211" s="11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88"/>
      <c r="O211" s="88"/>
      <c r="P211" s="2"/>
      <c r="Q211" s="2"/>
      <c r="R211" s="2"/>
      <c r="S211" s="2"/>
      <c r="T211" s="2"/>
    </row>
    <row r="212" ht="15.75" customHeight="1">
      <c r="A212" s="87"/>
      <c r="B212" s="87"/>
      <c r="C212" s="11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88"/>
      <c r="O212" s="88"/>
      <c r="P212" s="2"/>
      <c r="Q212" s="2"/>
      <c r="R212" s="2"/>
      <c r="S212" s="2"/>
      <c r="T212" s="2"/>
    </row>
    <row r="213" ht="15.75" customHeight="1">
      <c r="A213" s="87"/>
      <c r="B213" s="87"/>
      <c r="C213" s="11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88"/>
      <c r="O213" s="88"/>
      <c r="P213" s="2"/>
      <c r="Q213" s="2"/>
      <c r="R213" s="2"/>
      <c r="S213" s="2"/>
      <c r="T213" s="2"/>
    </row>
    <row r="214" ht="15.75" customHeight="1">
      <c r="A214" s="87"/>
      <c r="B214" s="87"/>
      <c r="C214" s="11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88"/>
      <c r="O214" s="88"/>
      <c r="P214" s="2"/>
      <c r="Q214" s="2"/>
      <c r="R214" s="2"/>
      <c r="S214" s="2"/>
      <c r="T214" s="2"/>
    </row>
    <row r="215" ht="15.75" customHeight="1">
      <c r="A215" s="87"/>
      <c r="B215" s="87"/>
      <c r="C215" s="11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88"/>
      <c r="O215" s="88"/>
      <c r="P215" s="2"/>
      <c r="Q215" s="2"/>
      <c r="R215" s="2"/>
      <c r="S215" s="2"/>
      <c r="T215" s="2"/>
    </row>
    <row r="216" ht="15.75" customHeight="1">
      <c r="A216" s="87"/>
      <c r="B216" s="87"/>
      <c r="C216" s="11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88"/>
      <c r="O216" s="88"/>
      <c r="P216" s="2"/>
      <c r="Q216" s="2"/>
      <c r="R216" s="2"/>
      <c r="S216" s="2"/>
      <c r="T216" s="2"/>
    </row>
    <row r="217" ht="15.75" customHeight="1">
      <c r="A217" s="87"/>
      <c r="B217" s="87"/>
      <c r="C217" s="11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88"/>
      <c r="O217" s="88"/>
      <c r="P217" s="2"/>
      <c r="Q217" s="2"/>
      <c r="R217" s="2"/>
      <c r="S217" s="2"/>
      <c r="T217" s="2"/>
    </row>
    <row r="218" ht="15.75" customHeight="1">
      <c r="A218" s="87"/>
      <c r="B218" s="87"/>
      <c r="C218" s="11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88"/>
      <c r="O218" s="88"/>
      <c r="P218" s="2"/>
      <c r="Q218" s="2"/>
      <c r="R218" s="2"/>
      <c r="S218" s="2"/>
      <c r="T218" s="2"/>
    </row>
    <row r="219" ht="15.75" customHeight="1">
      <c r="A219" s="87"/>
      <c r="B219" s="87"/>
      <c r="C219" s="11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88"/>
      <c r="O219" s="88"/>
      <c r="P219" s="2"/>
      <c r="Q219" s="2"/>
      <c r="R219" s="2"/>
      <c r="S219" s="2"/>
      <c r="T219" s="2"/>
    </row>
    <row r="220" ht="15.75" customHeight="1">
      <c r="A220" s="87"/>
      <c r="B220" s="87"/>
      <c r="C220" s="11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88"/>
      <c r="O220" s="88"/>
      <c r="P220" s="2"/>
      <c r="Q220" s="2"/>
      <c r="R220" s="2"/>
      <c r="S220" s="2"/>
      <c r="T220" s="2"/>
    </row>
    <row r="221" ht="15.75" customHeight="1">
      <c r="A221" s="87"/>
      <c r="B221" s="87"/>
      <c r="C221" s="11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88"/>
      <c r="O221" s="88"/>
      <c r="P221" s="2"/>
      <c r="Q221" s="2"/>
      <c r="R221" s="2"/>
      <c r="S221" s="2"/>
      <c r="T221" s="2"/>
    </row>
    <row r="222" ht="15.75" customHeight="1">
      <c r="A222" s="87"/>
      <c r="B222" s="87"/>
      <c r="C222" s="11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88"/>
      <c r="O222" s="88"/>
      <c r="P222" s="2"/>
      <c r="Q222" s="2"/>
      <c r="R222" s="2"/>
      <c r="S222" s="2"/>
      <c r="T222" s="2"/>
    </row>
    <row r="223" ht="15.75" customHeight="1">
      <c r="A223" s="87"/>
      <c r="B223" s="87"/>
      <c r="C223" s="11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88"/>
      <c r="O223" s="88"/>
      <c r="P223" s="2"/>
      <c r="Q223" s="2"/>
      <c r="R223" s="2"/>
      <c r="S223" s="2"/>
      <c r="T223" s="2"/>
    </row>
    <row r="224" ht="15.75" customHeight="1">
      <c r="A224" s="87"/>
      <c r="B224" s="87"/>
      <c r="C224" s="11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88"/>
      <c r="O224" s="88"/>
      <c r="P224" s="2"/>
      <c r="Q224" s="2"/>
      <c r="R224" s="2"/>
      <c r="S224" s="2"/>
      <c r="T224" s="2"/>
    </row>
    <row r="225" ht="15.75" customHeight="1">
      <c r="A225" s="87"/>
      <c r="B225" s="87"/>
      <c r="C225" s="11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88"/>
      <c r="O225" s="88"/>
      <c r="P225" s="2"/>
      <c r="Q225" s="2"/>
      <c r="R225" s="2"/>
      <c r="S225" s="2"/>
      <c r="T225" s="2"/>
    </row>
    <row r="226" ht="15.75" customHeight="1">
      <c r="A226" s="87"/>
      <c r="B226" s="87"/>
      <c r="C226" s="11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88"/>
      <c r="O226" s="88"/>
      <c r="P226" s="2"/>
      <c r="Q226" s="2"/>
      <c r="R226" s="2"/>
      <c r="S226" s="2"/>
      <c r="T226" s="2"/>
    </row>
    <row r="227" ht="15.75" customHeight="1">
      <c r="A227" s="87"/>
      <c r="B227" s="87"/>
      <c r="C227" s="11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88"/>
      <c r="O227" s="88"/>
      <c r="P227" s="2"/>
      <c r="Q227" s="2"/>
      <c r="R227" s="2"/>
      <c r="S227" s="2"/>
      <c r="T227" s="2"/>
    </row>
    <row r="228" ht="15.75" customHeight="1">
      <c r="A228" s="87"/>
      <c r="B228" s="87"/>
      <c r="C228" s="11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88"/>
      <c r="O228" s="88"/>
      <c r="P228" s="2"/>
      <c r="Q228" s="2"/>
      <c r="R228" s="2"/>
      <c r="S228" s="2"/>
      <c r="T228" s="2"/>
    </row>
    <row r="229" ht="15.75" customHeight="1">
      <c r="A229" s="87"/>
      <c r="B229" s="87"/>
      <c r="C229" s="11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88"/>
      <c r="O229" s="88"/>
      <c r="P229" s="2"/>
      <c r="Q229" s="2"/>
      <c r="R229" s="2"/>
      <c r="S229" s="2"/>
      <c r="T229" s="2"/>
    </row>
    <row r="230" ht="15.75" customHeight="1">
      <c r="A230" s="87"/>
      <c r="B230" s="87"/>
      <c r="C230" s="11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88"/>
      <c r="O230" s="88"/>
      <c r="P230" s="2"/>
      <c r="Q230" s="2"/>
      <c r="R230" s="2"/>
      <c r="S230" s="2"/>
      <c r="T230" s="2"/>
    </row>
    <row r="231" ht="15.75" customHeight="1">
      <c r="A231" s="87"/>
      <c r="B231" s="87"/>
      <c r="C231" s="11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88"/>
      <c r="O231" s="88"/>
      <c r="P231" s="2"/>
      <c r="Q231" s="2"/>
      <c r="R231" s="2"/>
      <c r="S231" s="2"/>
      <c r="T231" s="2"/>
    </row>
    <row r="232" ht="15.75" customHeight="1">
      <c r="A232" s="87"/>
      <c r="B232" s="87"/>
      <c r="C232" s="11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88"/>
      <c r="O232" s="88"/>
      <c r="P232" s="2"/>
      <c r="Q232" s="2"/>
      <c r="R232" s="2"/>
      <c r="S232" s="2"/>
      <c r="T232" s="2"/>
    </row>
    <row r="233" ht="15.75" customHeight="1">
      <c r="A233" s="87"/>
      <c r="B233" s="87"/>
      <c r="C233" s="11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88"/>
      <c r="O233" s="88"/>
      <c r="P233" s="2"/>
      <c r="Q233" s="2"/>
      <c r="R233" s="2"/>
      <c r="S233" s="2"/>
      <c r="T233" s="2"/>
    </row>
    <row r="234" ht="15.75" customHeight="1">
      <c r="A234" s="87"/>
      <c r="B234" s="87"/>
      <c r="C234" s="11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88"/>
      <c r="O234" s="88"/>
      <c r="P234" s="2"/>
      <c r="Q234" s="2"/>
      <c r="R234" s="2"/>
      <c r="S234" s="2"/>
      <c r="T234" s="2"/>
    </row>
    <row r="235" ht="15.75" customHeight="1">
      <c r="A235" s="87"/>
      <c r="B235" s="87"/>
      <c r="C235" s="11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88"/>
      <c r="O235" s="88"/>
      <c r="P235" s="2"/>
      <c r="Q235" s="2"/>
      <c r="R235" s="2"/>
      <c r="S235" s="2"/>
      <c r="T235" s="2"/>
    </row>
    <row r="236" ht="15.75" customHeight="1">
      <c r="A236" s="87"/>
      <c r="B236" s="87"/>
      <c r="C236" s="11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88"/>
      <c r="O236" s="88"/>
      <c r="P236" s="2"/>
      <c r="Q236" s="2"/>
      <c r="R236" s="2"/>
      <c r="S236" s="2"/>
      <c r="T236" s="2"/>
    </row>
    <row r="237" ht="15.75" customHeight="1">
      <c r="A237" s="87"/>
      <c r="B237" s="87"/>
      <c r="C237" s="11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88"/>
      <c r="O237" s="88"/>
      <c r="P237" s="2"/>
      <c r="Q237" s="2"/>
      <c r="R237" s="2"/>
      <c r="S237" s="2"/>
      <c r="T237" s="2"/>
    </row>
    <row r="238" ht="15.75" customHeight="1">
      <c r="A238" s="87"/>
      <c r="B238" s="87"/>
      <c r="C238" s="11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88"/>
      <c r="O238" s="88"/>
      <c r="P238" s="2"/>
      <c r="Q238" s="2"/>
      <c r="R238" s="2"/>
      <c r="S238" s="2"/>
      <c r="T238" s="2"/>
    </row>
    <row r="239" ht="15.75" customHeight="1">
      <c r="A239" s="87"/>
      <c r="B239" s="87"/>
      <c r="C239" s="11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88"/>
      <c r="O239" s="88"/>
      <c r="P239" s="2"/>
      <c r="Q239" s="2"/>
      <c r="R239" s="2"/>
      <c r="S239" s="2"/>
      <c r="T239" s="2"/>
    </row>
    <row r="240" ht="15.75" customHeight="1">
      <c r="A240" s="87"/>
      <c r="B240" s="87"/>
      <c r="C240" s="11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88"/>
      <c r="O240" s="88"/>
      <c r="P240" s="2"/>
      <c r="Q240" s="2"/>
      <c r="R240" s="2"/>
      <c r="S240" s="2"/>
      <c r="T240" s="2"/>
    </row>
    <row r="241" ht="15.75" customHeight="1">
      <c r="A241" s="87"/>
      <c r="B241" s="87"/>
      <c r="C241" s="11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88"/>
      <c r="O241" s="88"/>
      <c r="P241" s="2"/>
      <c r="Q241" s="2"/>
      <c r="R241" s="2"/>
      <c r="S241" s="2"/>
      <c r="T241" s="2"/>
    </row>
    <row r="242" ht="15.75" customHeight="1">
      <c r="A242" s="87"/>
      <c r="B242" s="87"/>
      <c r="C242" s="11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88"/>
      <c r="O242" s="88"/>
      <c r="P242" s="2"/>
      <c r="Q242" s="2"/>
      <c r="R242" s="2"/>
      <c r="S242" s="2"/>
      <c r="T242" s="2"/>
    </row>
    <row r="243" ht="15.75" customHeight="1">
      <c r="A243" s="87"/>
      <c r="B243" s="87"/>
      <c r="C243" s="11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88"/>
      <c r="O243" s="88"/>
      <c r="P243" s="2"/>
      <c r="Q243" s="2"/>
      <c r="R243" s="2"/>
      <c r="S243" s="2"/>
      <c r="T243" s="2"/>
    </row>
    <row r="244" ht="15.75" customHeight="1">
      <c r="A244" s="87"/>
      <c r="B244" s="87"/>
      <c r="C244" s="11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88"/>
      <c r="O244" s="88"/>
      <c r="P244" s="2"/>
      <c r="Q244" s="2"/>
      <c r="R244" s="2"/>
      <c r="S244" s="2"/>
      <c r="T244" s="2"/>
    </row>
    <row r="245" ht="15.75" customHeight="1">
      <c r="A245" s="87"/>
      <c r="B245" s="87"/>
      <c r="C245" s="11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88"/>
      <c r="O245" s="88"/>
      <c r="P245" s="2"/>
      <c r="Q245" s="2"/>
      <c r="R245" s="2"/>
      <c r="S245" s="2"/>
      <c r="T245" s="2"/>
    </row>
    <row r="246" ht="15.75" customHeight="1">
      <c r="A246" s="87"/>
      <c r="B246" s="87"/>
      <c r="C246" s="11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88"/>
      <c r="O246" s="88"/>
      <c r="P246" s="2"/>
      <c r="Q246" s="2"/>
      <c r="R246" s="2"/>
      <c r="S246" s="2"/>
      <c r="T246" s="2"/>
    </row>
    <row r="247" ht="15.75" customHeight="1">
      <c r="A247" s="87"/>
      <c r="B247" s="87"/>
      <c r="C247" s="11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88"/>
      <c r="O247" s="88"/>
      <c r="P247" s="2"/>
      <c r="Q247" s="2"/>
      <c r="R247" s="2"/>
      <c r="S247" s="2"/>
      <c r="T247" s="2"/>
    </row>
    <row r="248" ht="15.75" customHeight="1">
      <c r="A248" s="87"/>
      <c r="B248" s="87"/>
      <c r="C248" s="11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88"/>
      <c r="O248" s="88"/>
      <c r="P248" s="2"/>
      <c r="Q248" s="2"/>
      <c r="R248" s="2"/>
      <c r="S248" s="2"/>
      <c r="T248" s="2"/>
    </row>
    <row r="249" ht="15.75" customHeight="1">
      <c r="A249" s="87"/>
      <c r="B249" s="87"/>
      <c r="C249" s="11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88"/>
      <c r="O249" s="88"/>
      <c r="P249" s="2"/>
      <c r="Q249" s="2"/>
      <c r="R249" s="2"/>
      <c r="S249" s="2"/>
      <c r="T249" s="2"/>
    </row>
    <row r="250" ht="15.75" customHeight="1">
      <c r="A250" s="87"/>
      <c r="B250" s="87"/>
      <c r="C250" s="11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88"/>
      <c r="O250" s="88"/>
      <c r="P250" s="2"/>
      <c r="Q250" s="2"/>
      <c r="R250" s="2"/>
      <c r="S250" s="2"/>
      <c r="T250" s="2"/>
    </row>
    <row r="251" ht="15.75" customHeight="1">
      <c r="A251" s="87"/>
      <c r="B251" s="87"/>
      <c r="C251" s="11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88"/>
      <c r="O251" s="88"/>
      <c r="P251" s="2"/>
      <c r="Q251" s="2"/>
      <c r="R251" s="2"/>
      <c r="S251" s="2"/>
      <c r="T251" s="2"/>
    </row>
    <row r="252" ht="15.75" customHeight="1">
      <c r="A252" s="87"/>
      <c r="B252" s="87"/>
      <c r="C252" s="11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88"/>
      <c r="O252" s="88"/>
      <c r="P252" s="2"/>
      <c r="Q252" s="2"/>
      <c r="R252" s="2"/>
      <c r="S252" s="2"/>
      <c r="T252" s="2"/>
    </row>
    <row r="253" ht="15.75" customHeight="1">
      <c r="A253" s="87"/>
      <c r="B253" s="87"/>
      <c r="C253" s="11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88"/>
      <c r="O253" s="88"/>
      <c r="P253" s="2"/>
      <c r="Q253" s="2"/>
      <c r="R253" s="2"/>
      <c r="S253" s="2"/>
      <c r="T253" s="2"/>
    </row>
    <row r="254" ht="15.75" customHeight="1">
      <c r="A254" s="87"/>
      <c r="B254" s="87"/>
      <c r="C254" s="11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88"/>
      <c r="O254" s="88"/>
      <c r="P254" s="2"/>
      <c r="Q254" s="2"/>
      <c r="R254" s="2"/>
      <c r="S254" s="2"/>
      <c r="T254" s="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M1:O1"/>
    <mergeCell ref="M2:O2"/>
    <mergeCell ref="A3:F3"/>
    <mergeCell ref="E4:F4"/>
    <mergeCell ref="B28:F45"/>
    <mergeCell ref="B46:F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7.75"/>
    <col customWidth="1" min="3" max="3" width="15.38"/>
    <col customWidth="1" min="4" max="4" width="12.25"/>
    <col customWidth="1" min="5" max="5" width="10.0"/>
    <col customWidth="1" min="6" max="6" width="11.0"/>
    <col customWidth="1" min="7" max="7" width="13.0"/>
    <col customWidth="1" min="8" max="8" width="10.75"/>
    <col customWidth="1" min="9" max="9" width="15.0"/>
    <col customWidth="1" min="10" max="10" width="11.0"/>
    <col customWidth="1" min="11" max="11" width="13.0"/>
    <col customWidth="1" min="12" max="12" width="10.75"/>
    <col customWidth="1" min="13" max="13" width="11.63"/>
    <col customWidth="1" min="14" max="14" width="11.0"/>
    <col customWidth="1" min="15" max="15" width="20.88"/>
    <col customWidth="1" min="16" max="16" width="15.63"/>
    <col customWidth="1" min="17" max="17" width="11.63"/>
    <col customWidth="1" min="18" max="18" width="6.0"/>
    <col customWidth="1" min="19" max="19" width="10.25"/>
    <col customWidth="1" min="20" max="20" width="12.13"/>
    <col customWidth="1" min="21" max="24" width="10.13"/>
    <col customWidth="1" min="25" max="25" width="8.25"/>
    <col customWidth="1" min="26" max="27" width="7.0"/>
    <col customWidth="1" min="28" max="28" width="7.75"/>
    <col customWidth="1" min="29" max="29" width="8.88"/>
    <col customWidth="1" min="30" max="30" width="7.63"/>
    <col customWidth="1" min="31" max="31" width="7.38"/>
    <col customWidth="1" min="32" max="32" width="5.38"/>
    <col customWidth="1" min="33" max="33" width="5.25"/>
    <col customWidth="1" min="34" max="34" width="3.75"/>
    <col customWidth="1" min="35" max="35" width="7.25"/>
    <col customWidth="1" min="36" max="36" width="8.63"/>
    <col customWidth="1" min="37" max="37" width="7.25"/>
  </cols>
  <sheetData>
    <row r="1" ht="15.75" customHeight="1">
      <c r="A1" s="94" t="s">
        <v>94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</row>
    <row r="2" ht="15.75" customHeight="1">
      <c r="A2" s="95"/>
      <c r="B2" s="95"/>
      <c r="C2" s="95"/>
      <c r="D2" s="95"/>
      <c r="E2" s="95"/>
      <c r="F2" s="96"/>
      <c r="G2" s="96"/>
      <c r="H2" s="95"/>
      <c r="I2" s="95"/>
      <c r="J2" s="95"/>
      <c r="K2" s="95"/>
      <c r="L2" s="95"/>
      <c r="M2" s="95"/>
      <c r="N2" s="95"/>
      <c r="O2" s="95"/>
      <c r="P2" s="95"/>
      <c r="Q2" s="9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15.75" customHeight="1">
      <c r="A3" s="95" t="s">
        <v>95</v>
      </c>
      <c r="B3" s="95" t="s">
        <v>3</v>
      </c>
      <c r="C3" s="95"/>
      <c r="D3" s="95"/>
      <c r="E3" s="95"/>
      <c r="F3" s="96"/>
      <c r="G3" s="96"/>
      <c r="H3" s="95"/>
      <c r="I3" s="95"/>
      <c r="J3" s="95"/>
      <c r="K3" s="95"/>
      <c r="L3" s="95"/>
      <c r="M3" s="95"/>
      <c r="N3" s="95"/>
      <c r="O3" s="95"/>
      <c r="P3" s="95"/>
      <c r="Q3" s="9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ht="15.75" customHeight="1">
      <c r="A4" s="97"/>
      <c r="B4" s="98"/>
      <c r="C4" s="99"/>
      <c r="D4" s="99"/>
      <c r="E4" s="99"/>
      <c r="F4" s="100"/>
      <c r="G4" s="100"/>
      <c r="H4" s="99"/>
      <c r="I4" s="99"/>
      <c r="J4" s="99"/>
      <c r="K4" s="99"/>
      <c r="L4" s="99"/>
      <c r="M4" s="99"/>
      <c r="N4" s="99"/>
      <c r="O4" s="99"/>
      <c r="P4" s="99"/>
      <c r="Q4" s="99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</row>
    <row r="5" ht="15.75" customHeight="1">
      <c r="A5" s="101"/>
      <c r="B5" s="102"/>
      <c r="C5" s="103"/>
      <c r="D5" s="103"/>
      <c r="E5" s="103"/>
      <c r="F5" s="104"/>
      <c r="G5" s="103"/>
      <c r="H5" s="104"/>
      <c r="I5" s="104"/>
      <c r="J5" s="104"/>
      <c r="K5" s="104"/>
      <c r="L5" s="104"/>
      <c r="M5" s="103"/>
      <c r="N5" s="103"/>
      <c r="O5" s="103"/>
      <c r="P5" s="103"/>
      <c r="Q5" s="10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</row>
    <row r="6" ht="15.75" customHeight="1">
      <c r="A6" s="97"/>
      <c r="B6" s="102"/>
      <c r="C6" s="105"/>
      <c r="D6" s="105"/>
      <c r="E6" s="106"/>
      <c r="F6" s="107"/>
      <c r="G6" s="105"/>
      <c r="H6" s="107"/>
      <c r="I6" s="107"/>
      <c r="J6" s="107"/>
      <c r="K6" s="107"/>
      <c r="L6" s="107"/>
      <c r="M6" s="108"/>
      <c r="N6" s="109"/>
      <c r="O6" s="108"/>
      <c r="P6" s="107"/>
      <c r="Q6" s="10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</row>
    <row r="7" ht="15.75" customHeight="1">
      <c r="A7" s="110"/>
      <c r="B7" s="111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</row>
    <row r="8" ht="15.75" customHeight="1">
      <c r="A8" s="110"/>
      <c r="B8" s="102"/>
      <c r="C8" s="106"/>
      <c r="D8" s="113"/>
      <c r="E8" s="107"/>
      <c r="F8" s="105"/>
      <c r="G8" s="107"/>
      <c r="H8" s="107"/>
      <c r="I8" s="107"/>
      <c r="J8" s="107"/>
      <c r="K8" s="107"/>
      <c r="L8" s="107"/>
      <c r="M8" s="107"/>
      <c r="N8" s="107"/>
      <c r="O8" s="114"/>
      <c r="P8" s="115"/>
      <c r="Q8" s="114"/>
      <c r="R8" s="94"/>
      <c r="S8" s="116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</row>
    <row r="9" ht="15.75" customHeight="1">
      <c r="A9" s="110"/>
      <c r="B9" s="102"/>
      <c r="C9" s="106"/>
      <c r="D9" s="113"/>
      <c r="E9" s="107"/>
      <c r="F9" s="105"/>
      <c r="G9" s="107"/>
      <c r="H9" s="107"/>
      <c r="I9" s="107"/>
      <c r="J9" s="107"/>
      <c r="K9" s="107"/>
      <c r="L9" s="107"/>
      <c r="M9" s="107"/>
      <c r="N9" s="107"/>
      <c r="O9" s="117"/>
      <c r="P9" s="118"/>
      <c r="Q9" s="117"/>
      <c r="R9" s="94"/>
      <c r="S9" s="116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</row>
    <row r="10" ht="15.75" customHeight="1">
      <c r="A10" s="110"/>
      <c r="B10" s="102"/>
      <c r="C10" s="106"/>
      <c r="D10" s="113"/>
      <c r="E10" s="107"/>
      <c r="F10" s="105"/>
      <c r="G10" s="107"/>
      <c r="H10" s="108"/>
      <c r="I10" s="107"/>
      <c r="J10" s="107"/>
      <c r="K10" s="107"/>
      <c r="L10" s="107"/>
      <c r="M10" s="107"/>
      <c r="N10" s="107"/>
      <c r="O10" s="117"/>
      <c r="P10" s="119"/>
      <c r="Q10" s="117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</row>
    <row r="11" ht="15.75" customHeight="1">
      <c r="A11" s="110"/>
      <c r="B11" s="102"/>
      <c r="C11" s="106"/>
      <c r="D11" s="107"/>
      <c r="E11" s="107"/>
      <c r="F11" s="105"/>
      <c r="G11" s="107"/>
      <c r="H11" s="107"/>
      <c r="I11" s="107"/>
      <c r="J11" s="107"/>
      <c r="K11" s="107"/>
      <c r="L11" s="107"/>
      <c r="M11" s="107"/>
      <c r="N11" s="107"/>
      <c r="O11" s="120"/>
      <c r="P11" s="120"/>
      <c r="Q11" s="120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</row>
    <row r="12" ht="15.75" customHeight="1">
      <c r="A12" s="97"/>
      <c r="B12" s="102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</row>
    <row r="13" ht="15.75" customHeight="1">
      <c r="A13" s="97"/>
      <c r="B13" s="102"/>
      <c r="C13" s="122"/>
      <c r="D13" s="122"/>
      <c r="E13" s="122"/>
      <c r="F13" s="122"/>
      <c r="G13" s="122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</row>
    <row r="14" ht="15.75" customHeight="1">
      <c r="A14" s="97"/>
      <c r="B14" s="123"/>
      <c r="C14" s="101"/>
      <c r="D14" s="124"/>
      <c r="E14" s="125"/>
      <c r="F14" s="126"/>
      <c r="G14" s="12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</row>
    <row r="15" ht="15.75" customHeight="1">
      <c r="A15" s="110"/>
      <c r="B15" s="127"/>
      <c r="C15" s="101"/>
      <c r="D15" s="124"/>
      <c r="E15" s="125"/>
      <c r="F15" s="126"/>
      <c r="G15" s="12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</row>
    <row r="16" ht="15.75" customHeight="1">
      <c r="A16" s="97"/>
      <c r="B16" s="127"/>
      <c r="C16" s="101"/>
      <c r="D16" s="124"/>
      <c r="E16" s="125"/>
      <c r="F16" s="128"/>
      <c r="G16" s="12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</row>
    <row r="17" ht="15.75" customHeight="1">
      <c r="A17" s="97"/>
      <c r="B17" s="127"/>
      <c r="C17" s="101"/>
      <c r="D17" s="124"/>
      <c r="E17" s="129"/>
      <c r="F17" s="124"/>
      <c r="G17" s="130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</row>
    <row r="18" ht="15.75" customHeight="1">
      <c r="A18" s="97"/>
      <c r="B18" s="131"/>
      <c r="C18" s="101"/>
      <c r="D18" s="124"/>
      <c r="E18" s="132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</row>
    <row r="19" ht="15.75" customHeight="1">
      <c r="A19" s="133"/>
      <c r="B19" s="13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</row>
    <row r="20" ht="15.75" customHeight="1">
      <c r="A20" s="135"/>
      <c r="B20" s="135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</row>
    <row r="21" ht="15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</row>
    <row r="23" ht="15.75" customHeight="1">
      <c r="A23" s="97"/>
      <c r="B23" s="98"/>
      <c r="C23" s="99"/>
      <c r="D23" s="99"/>
      <c r="E23" s="99"/>
      <c r="F23" s="100"/>
      <c r="G23" s="100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</row>
    <row r="24" ht="15.75" customHeight="1">
      <c r="A24" s="101"/>
      <c r="B24" s="103"/>
      <c r="C24" s="103"/>
      <c r="D24" s="103"/>
      <c r="E24" s="103"/>
      <c r="F24" s="104"/>
      <c r="G24" s="103"/>
      <c r="H24" s="104"/>
      <c r="I24" s="104"/>
      <c r="J24" s="104"/>
      <c r="K24" s="104"/>
      <c r="L24" s="104"/>
      <c r="M24" s="103"/>
      <c r="N24" s="103"/>
      <c r="O24" s="103"/>
      <c r="P24" s="103"/>
      <c r="Q24" s="10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</row>
    <row r="25" ht="15.75" customHeight="1">
      <c r="A25" s="97"/>
      <c r="B25" s="102"/>
      <c r="C25" s="105"/>
      <c r="D25" s="105"/>
      <c r="E25" s="106"/>
      <c r="F25" s="107"/>
      <c r="G25" s="105"/>
      <c r="H25" s="107"/>
      <c r="I25" s="107"/>
      <c r="J25" s="107"/>
      <c r="K25" s="107"/>
      <c r="L25" s="107"/>
      <c r="M25" s="108"/>
      <c r="N25" s="109"/>
      <c r="O25" s="108"/>
      <c r="P25" s="107"/>
      <c r="Q25" s="10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</row>
    <row r="26" ht="15.75" customHeight="1">
      <c r="A26" s="110"/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</row>
    <row r="27" ht="15.75" customHeight="1">
      <c r="A27" s="110"/>
      <c r="B27" s="102"/>
      <c r="C27" s="106"/>
      <c r="D27" s="136"/>
      <c r="E27" s="107"/>
      <c r="F27" s="105"/>
      <c r="G27" s="107"/>
      <c r="H27" s="107"/>
      <c r="I27" s="107"/>
      <c r="J27" s="107"/>
      <c r="K27" s="107"/>
      <c r="L27" s="107"/>
      <c r="M27" s="107"/>
      <c r="N27" s="107"/>
      <c r="O27" s="114"/>
      <c r="P27" s="115"/>
      <c r="Q27" s="11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</row>
    <row r="28" ht="15.75" customHeight="1">
      <c r="A28" s="110"/>
      <c r="B28" s="102"/>
      <c r="C28" s="106"/>
      <c r="D28" s="136"/>
      <c r="E28" s="107"/>
      <c r="F28" s="105"/>
      <c r="G28" s="107"/>
      <c r="H28" s="107"/>
      <c r="I28" s="107"/>
      <c r="J28" s="107"/>
      <c r="K28" s="107"/>
      <c r="L28" s="107"/>
      <c r="M28" s="107"/>
      <c r="N28" s="107"/>
      <c r="O28" s="117"/>
      <c r="P28" s="118"/>
      <c r="Q28" s="117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</row>
    <row r="29" ht="15.75" customHeight="1">
      <c r="A29" s="110"/>
      <c r="B29" s="102"/>
      <c r="C29" s="106"/>
      <c r="D29" s="136"/>
      <c r="E29" s="107"/>
      <c r="F29" s="105"/>
      <c r="G29" s="107"/>
      <c r="H29" s="108"/>
      <c r="I29" s="107"/>
      <c r="J29" s="107"/>
      <c r="K29" s="107"/>
      <c r="L29" s="107"/>
      <c r="M29" s="107"/>
      <c r="N29" s="107"/>
      <c r="O29" s="117"/>
      <c r="P29" s="119"/>
      <c r="Q29" s="117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</row>
    <row r="30" ht="15.75" customHeight="1">
      <c r="A30" s="110"/>
      <c r="B30" s="102"/>
      <c r="C30" s="106"/>
      <c r="D30" s="107"/>
      <c r="E30" s="107"/>
      <c r="F30" s="105"/>
      <c r="G30" s="107"/>
      <c r="H30" s="107"/>
      <c r="I30" s="107"/>
      <c r="J30" s="107"/>
      <c r="K30" s="107"/>
      <c r="L30" s="107"/>
      <c r="M30" s="107"/>
      <c r="N30" s="107"/>
      <c r="O30" s="120"/>
      <c r="P30" s="120"/>
      <c r="Q30" s="120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</row>
    <row r="31" ht="15.75" customHeight="1">
      <c r="A31" s="97"/>
      <c r="B31" s="102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</row>
    <row r="32" ht="15.75" customHeight="1">
      <c r="A32" s="97"/>
      <c r="B32" s="102"/>
      <c r="C32" s="122"/>
      <c r="D32" s="122"/>
      <c r="E32" s="122"/>
      <c r="F32" s="122"/>
      <c r="G32" s="122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</row>
    <row r="33" ht="15.75" customHeight="1">
      <c r="A33" s="97"/>
      <c r="B33" s="123"/>
      <c r="C33" s="101"/>
      <c r="D33" s="124"/>
      <c r="E33" s="125"/>
      <c r="F33" s="124"/>
      <c r="G33" s="12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</row>
    <row r="34" ht="15.75" customHeight="1">
      <c r="A34" s="110"/>
      <c r="B34" s="127"/>
      <c r="C34" s="101"/>
      <c r="D34" s="124"/>
      <c r="E34" s="125"/>
      <c r="F34" s="124"/>
      <c r="G34" s="12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</row>
    <row r="35" ht="15.75" customHeight="1">
      <c r="A35" s="97"/>
      <c r="B35" s="127"/>
      <c r="C35" s="101"/>
      <c r="D35" s="124"/>
      <c r="E35" s="125"/>
      <c r="F35" s="128"/>
      <c r="G35" s="12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</row>
    <row r="36" ht="15.75" customHeight="1">
      <c r="A36" s="97"/>
      <c r="B36" s="127"/>
      <c r="C36" s="101"/>
      <c r="D36" s="124"/>
      <c r="E36" s="129"/>
      <c r="F36" s="124"/>
      <c r="G36" s="130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</row>
    <row r="37" ht="15.75" customHeight="1">
      <c r="A37" s="97"/>
      <c r="B37" s="131"/>
      <c r="C37" s="101"/>
      <c r="D37" s="124"/>
      <c r="E37" s="132"/>
      <c r="F37" s="124"/>
      <c r="G37" s="12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</row>
    <row r="38" ht="15.75" customHeight="1">
      <c r="A38" s="133"/>
      <c r="B38" s="13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</row>
    <row r="39" ht="15.75" customHeight="1">
      <c r="A39" s="135"/>
      <c r="B39" s="135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</row>
    <row r="42" ht="15.75" customHeight="1">
      <c r="A42" s="97"/>
      <c r="B42" s="137"/>
      <c r="C42" s="99"/>
      <c r="D42" s="99"/>
      <c r="E42" s="99"/>
      <c r="F42" s="100"/>
      <c r="G42" s="100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138"/>
      <c r="S42" s="139"/>
      <c r="T42" s="140"/>
      <c r="U42" s="141"/>
      <c r="V42" s="142"/>
      <c r="W42" s="143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</row>
    <row r="43" ht="15.75" customHeight="1">
      <c r="A43" s="101"/>
      <c r="B43" s="137"/>
      <c r="C43" s="103"/>
      <c r="D43" s="103"/>
      <c r="E43" s="103"/>
      <c r="F43" s="104"/>
      <c r="G43" s="103"/>
      <c r="H43" s="104"/>
      <c r="I43" s="104"/>
      <c r="J43" s="104"/>
      <c r="K43" s="104"/>
      <c r="L43" s="104"/>
      <c r="M43" s="103"/>
      <c r="N43" s="144"/>
      <c r="O43" s="103"/>
      <c r="P43" s="103"/>
      <c r="Q43" s="145"/>
      <c r="R43" s="146"/>
      <c r="S43" s="147"/>
      <c r="T43" s="148"/>
      <c r="U43" s="149"/>
      <c r="V43" s="150"/>
      <c r="W43" s="151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</row>
    <row r="44" ht="15.75" customHeight="1">
      <c r="A44" s="97"/>
      <c r="B44" s="102"/>
      <c r="C44" s="105"/>
      <c r="D44" s="105"/>
      <c r="E44" s="106"/>
      <c r="F44" s="107"/>
      <c r="G44" s="105"/>
      <c r="H44" s="107"/>
      <c r="I44" s="107"/>
      <c r="J44" s="107"/>
      <c r="K44" s="107"/>
      <c r="L44" s="107"/>
      <c r="M44" s="108"/>
      <c r="N44" s="109"/>
      <c r="O44" s="108"/>
      <c r="P44" s="107"/>
      <c r="Q44" s="145"/>
      <c r="R44" s="152"/>
      <c r="S44" s="153"/>
      <c r="T44" s="148"/>
      <c r="U44" s="149"/>
      <c r="V44" s="154"/>
      <c r="W44" s="155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</row>
    <row r="45" ht="15.75" customHeight="1">
      <c r="A45" s="110"/>
      <c r="B45" s="111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56"/>
      <c r="R45" s="157"/>
      <c r="S45" s="158"/>
      <c r="T45" s="159"/>
      <c r="U45" s="160"/>
      <c r="V45" s="154"/>
      <c r="W45" s="155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</row>
    <row r="46" ht="15.75" customHeight="1">
      <c r="A46" s="110"/>
      <c r="B46" s="102"/>
      <c r="C46" s="106"/>
      <c r="D46" s="136"/>
      <c r="E46" s="107"/>
      <c r="F46" s="105"/>
      <c r="G46" s="107"/>
      <c r="H46" s="107"/>
      <c r="I46" s="107"/>
      <c r="J46" s="107"/>
      <c r="K46" s="107"/>
      <c r="L46" s="107"/>
      <c r="M46" s="107"/>
      <c r="N46" s="107"/>
      <c r="O46" s="114"/>
      <c r="P46" s="115"/>
      <c r="Q46" s="161"/>
      <c r="R46" s="152"/>
      <c r="S46" s="162"/>
      <c r="T46" s="148"/>
      <c r="U46" s="149"/>
      <c r="V46" s="154"/>
      <c r="W46" s="155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</row>
    <row r="47" ht="15.75" customHeight="1">
      <c r="A47" s="110"/>
      <c r="B47" s="102"/>
      <c r="C47" s="106"/>
      <c r="D47" s="136"/>
      <c r="E47" s="107"/>
      <c r="F47" s="105"/>
      <c r="G47" s="107"/>
      <c r="H47" s="107"/>
      <c r="I47" s="107"/>
      <c r="J47" s="107"/>
      <c r="K47" s="107"/>
      <c r="L47" s="107"/>
      <c r="M47" s="107"/>
      <c r="N47" s="107"/>
      <c r="O47" s="117"/>
      <c r="P47" s="118"/>
      <c r="Q47" s="163"/>
      <c r="R47" s="152"/>
      <c r="S47" s="164"/>
      <c r="T47" s="148"/>
      <c r="U47" s="149"/>
      <c r="V47" s="154"/>
      <c r="W47" s="155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</row>
    <row r="48" ht="15.75" customHeight="1">
      <c r="A48" s="110"/>
      <c r="B48" s="102"/>
      <c r="C48" s="106"/>
      <c r="D48" s="136"/>
      <c r="E48" s="107"/>
      <c r="F48" s="105"/>
      <c r="G48" s="107"/>
      <c r="H48" s="108"/>
      <c r="I48" s="107"/>
      <c r="J48" s="107"/>
      <c r="K48" s="107"/>
      <c r="L48" s="107"/>
      <c r="M48" s="107"/>
      <c r="N48" s="107"/>
      <c r="O48" s="117"/>
      <c r="P48" s="119"/>
      <c r="Q48" s="163"/>
      <c r="R48" s="152"/>
      <c r="S48" s="153"/>
      <c r="T48" s="165"/>
      <c r="U48" s="149"/>
      <c r="V48" s="154"/>
      <c r="W48" s="155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</row>
    <row r="49" ht="15.75" customHeight="1">
      <c r="A49" s="110"/>
      <c r="B49" s="102"/>
      <c r="C49" s="106"/>
      <c r="D49" s="166"/>
      <c r="E49" s="107"/>
      <c r="F49" s="105"/>
      <c r="G49" s="107"/>
      <c r="H49" s="107"/>
      <c r="I49" s="107"/>
      <c r="J49" s="107"/>
      <c r="K49" s="107"/>
      <c r="L49" s="107"/>
      <c r="M49" s="107"/>
      <c r="N49" s="107"/>
      <c r="O49" s="120"/>
      <c r="P49" s="120"/>
      <c r="Q49" s="167"/>
      <c r="R49" s="152"/>
      <c r="S49" s="153"/>
      <c r="T49" s="148"/>
      <c r="U49" s="149"/>
      <c r="V49" s="154"/>
      <c r="W49" s="155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</row>
    <row r="50" ht="15.75" customHeight="1">
      <c r="A50" s="97"/>
      <c r="B50" s="102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68"/>
      <c r="P50" s="168"/>
      <c r="Q50" s="121"/>
      <c r="R50" s="152"/>
      <c r="S50" s="153"/>
      <c r="T50" s="148"/>
      <c r="U50" s="149"/>
      <c r="V50" s="154"/>
      <c r="W50" s="155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</row>
    <row r="51" ht="15.75" customHeight="1">
      <c r="A51" s="97"/>
      <c r="B51" s="102"/>
      <c r="C51" s="122"/>
      <c r="D51" s="122"/>
      <c r="E51" s="122"/>
      <c r="F51" s="122"/>
      <c r="G51" s="122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152"/>
      <c r="S51" s="153"/>
      <c r="T51" s="148"/>
      <c r="U51" s="149"/>
      <c r="V51" s="154"/>
      <c r="W51" s="155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</row>
    <row r="52" ht="15.75" customHeight="1">
      <c r="A52" s="97"/>
      <c r="B52" s="36"/>
      <c r="C52" s="101"/>
      <c r="D52" s="124"/>
      <c r="E52" s="125"/>
      <c r="F52" s="124"/>
      <c r="G52" s="12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152"/>
      <c r="S52" s="153"/>
      <c r="T52" s="148"/>
      <c r="U52" s="149"/>
      <c r="V52" s="154"/>
      <c r="W52" s="155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</row>
    <row r="53" ht="15.75" customHeight="1">
      <c r="A53" s="110"/>
      <c r="B53" s="127"/>
      <c r="C53" s="101"/>
      <c r="D53" s="124"/>
      <c r="E53" s="125"/>
      <c r="F53" s="124"/>
      <c r="G53" s="124"/>
      <c r="H53" s="94"/>
      <c r="I53" s="169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</row>
    <row r="54" ht="15.75" customHeight="1">
      <c r="A54" s="97"/>
      <c r="B54" s="127"/>
      <c r="C54" s="101"/>
      <c r="D54" s="124"/>
      <c r="E54" s="125"/>
      <c r="F54" s="128"/>
      <c r="G54" s="124"/>
      <c r="H54" s="94"/>
      <c r="I54" s="169"/>
      <c r="J54" s="94"/>
      <c r="K54" s="94"/>
      <c r="L54" s="94"/>
      <c r="M54" s="94"/>
      <c r="N54" s="94"/>
      <c r="O54" s="170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</row>
    <row r="55" ht="15.75" customHeight="1">
      <c r="A55" s="97"/>
      <c r="B55" s="127"/>
      <c r="C55" s="101"/>
      <c r="D55" s="124"/>
      <c r="E55" s="129"/>
      <c r="F55" s="124"/>
      <c r="G55" s="124"/>
      <c r="H55" s="94"/>
      <c r="I55" s="169"/>
      <c r="J55" s="94"/>
      <c r="K55" s="94"/>
      <c r="L55" s="94"/>
      <c r="M55" s="94"/>
      <c r="N55" s="94"/>
      <c r="O55" s="170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</row>
    <row r="56" ht="15.75" customHeight="1">
      <c r="A56" s="97"/>
      <c r="B56" s="131"/>
      <c r="C56" s="101"/>
      <c r="D56" s="124"/>
      <c r="E56" s="132"/>
      <c r="F56" s="124"/>
      <c r="I56" s="171" t="s">
        <v>96</v>
      </c>
      <c r="J56" s="116" t="s">
        <v>97</v>
      </c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</row>
    <row r="57" ht="15.75" customHeight="1">
      <c r="A57" s="133"/>
      <c r="B57" s="134"/>
      <c r="C57" s="94"/>
      <c r="D57" s="94"/>
      <c r="E57" s="94"/>
      <c r="F57" s="94"/>
      <c r="G57" s="116" t="s">
        <v>98</v>
      </c>
      <c r="H57" s="116" t="s">
        <v>99</v>
      </c>
      <c r="I57" s="169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</row>
    <row r="58" ht="15.75" customHeight="1">
      <c r="A58" s="135"/>
      <c r="B58" s="135"/>
      <c r="C58" s="94"/>
      <c r="D58" s="94"/>
      <c r="E58" s="94"/>
      <c r="F58" s="94"/>
      <c r="G58" s="116">
        <v>8.0</v>
      </c>
      <c r="H58" s="116">
        <v>1800.0</v>
      </c>
      <c r="I58" s="172" t="s">
        <v>100</v>
      </c>
      <c r="J58" s="173" t="s">
        <v>101</v>
      </c>
      <c r="K58" s="94"/>
      <c r="L58" s="94"/>
      <c r="M58" s="94"/>
      <c r="N58" s="94"/>
      <c r="O58" s="116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</row>
    <row r="59" ht="15.75" customHeight="1">
      <c r="A59" s="94"/>
      <c r="B59" s="94"/>
      <c r="C59" s="94"/>
      <c r="D59" s="94"/>
      <c r="E59" s="94"/>
      <c r="F59" s="174"/>
      <c r="G59" s="116">
        <v>7.0</v>
      </c>
      <c r="H59" s="116">
        <v>1700.0</v>
      </c>
      <c r="I59" s="172" t="s">
        <v>102</v>
      </c>
      <c r="J59" s="172" t="s">
        <v>102</v>
      </c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</row>
    <row r="60" ht="15.75" customHeight="1">
      <c r="A60" s="94"/>
      <c r="B60" s="94"/>
      <c r="C60" s="94"/>
      <c r="D60" s="94"/>
      <c r="E60" s="94"/>
      <c r="F60" s="94"/>
      <c r="G60" s="116">
        <v>6.0</v>
      </c>
      <c r="H60" s="116">
        <v>1500.0</v>
      </c>
      <c r="I60" s="172" t="s">
        <v>102</v>
      </c>
      <c r="J60" s="172" t="s">
        <v>102</v>
      </c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</row>
    <row r="61" ht="15.75" customHeight="1">
      <c r="A61" s="94"/>
      <c r="B61" s="94"/>
      <c r="C61" s="94"/>
      <c r="D61" s="94"/>
      <c r="E61" s="94"/>
      <c r="F61" s="94"/>
      <c r="G61" s="116">
        <v>5.0</v>
      </c>
      <c r="H61" s="116">
        <v>1200.0</v>
      </c>
      <c r="I61" s="172" t="s">
        <v>102</v>
      </c>
      <c r="J61" s="172" t="s">
        <v>102</v>
      </c>
      <c r="K61" s="94"/>
      <c r="L61" s="11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</row>
    <row r="62" ht="26.25" customHeight="1">
      <c r="A62" s="94"/>
      <c r="B62" s="94"/>
      <c r="C62" s="94"/>
      <c r="D62" s="94">
        <f>215+50</f>
        <v>265</v>
      </c>
      <c r="E62" s="94"/>
      <c r="F62" s="94"/>
      <c r="G62" s="116">
        <v>4.0</v>
      </c>
      <c r="H62" s="116">
        <v>1000.0</v>
      </c>
      <c r="I62" s="172" t="s">
        <v>102</v>
      </c>
      <c r="J62" s="172" t="s">
        <v>102</v>
      </c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</row>
    <row r="63" ht="15.75" customHeight="1">
      <c r="A63" s="94"/>
      <c r="B63" s="94"/>
      <c r="C63" s="94"/>
      <c r="D63" s="94">
        <f>D62*2</f>
        <v>530</v>
      </c>
      <c r="E63" s="94"/>
      <c r="F63" s="94"/>
      <c r="G63" s="116">
        <v>3.0</v>
      </c>
      <c r="H63" s="116">
        <v>800.0</v>
      </c>
      <c r="I63" s="172" t="s">
        <v>102</v>
      </c>
      <c r="J63" s="172" t="s">
        <v>102</v>
      </c>
      <c r="K63" s="94"/>
      <c r="L63" s="94"/>
      <c r="M63" s="94"/>
      <c r="N63" s="94"/>
      <c r="O63" s="175"/>
      <c r="P63" s="175"/>
      <c r="Q63" s="94"/>
      <c r="R63" s="94"/>
      <c r="S63" s="138"/>
      <c r="T63" s="139"/>
      <c r="U63" s="140"/>
      <c r="V63" s="141"/>
      <c r="W63" s="142"/>
      <c r="X63" s="143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</row>
    <row r="64" ht="15.75" customHeight="1">
      <c r="A64" s="94"/>
      <c r="B64" s="116"/>
      <c r="C64" s="116"/>
      <c r="D64" s="94"/>
      <c r="E64" s="94"/>
      <c r="F64" s="94"/>
      <c r="G64" s="116">
        <v>2.0</v>
      </c>
      <c r="H64" s="116">
        <v>500.0</v>
      </c>
      <c r="I64" s="172" t="s">
        <v>102</v>
      </c>
      <c r="J64" s="172" t="s">
        <v>102</v>
      </c>
      <c r="K64" s="94"/>
      <c r="L64" s="94"/>
      <c r="M64" s="94"/>
      <c r="N64" s="94"/>
      <c r="O64" s="175"/>
      <c r="P64" s="176"/>
      <c r="Q64" s="177"/>
      <c r="R64" s="94"/>
      <c r="S64" s="178"/>
      <c r="T64" s="179"/>
      <c r="U64" s="148"/>
      <c r="V64" s="180"/>
      <c r="W64" s="150"/>
      <c r="X64" s="181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</row>
    <row r="65" ht="15.75" customHeight="1">
      <c r="A65" s="94"/>
      <c r="B65" s="182" t="s">
        <v>103</v>
      </c>
      <c r="C65" s="116" t="s">
        <v>104</v>
      </c>
      <c r="D65" s="94"/>
      <c r="E65" s="94"/>
      <c r="F65" s="94"/>
      <c r="G65" s="171">
        <v>1.0</v>
      </c>
      <c r="H65" s="171">
        <v>400.0</v>
      </c>
      <c r="I65" s="172" t="s">
        <v>102</v>
      </c>
      <c r="J65" s="172" t="s">
        <v>102</v>
      </c>
      <c r="K65" s="94"/>
      <c r="L65" s="94"/>
      <c r="M65" s="94"/>
      <c r="N65" s="94"/>
      <c r="O65" s="175"/>
      <c r="P65" s="175"/>
      <c r="Q65" s="94"/>
      <c r="R65" s="94"/>
      <c r="S65" s="183"/>
      <c r="T65" s="184"/>
      <c r="U65" s="148"/>
      <c r="V65" s="185"/>
      <c r="W65" s="154"/>
      <c r="X65" s="186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</row>
    <row r="66" ht="36.0" customHeight="1">
      <c r="A66" s="97" t="s">
        <v>105</v>
      </c>
      <c r="B66" s="187" t="s">
        <v>106</v>
      </c>
      <c r="C66" s="188" t="s">
        <v>107</v>
      </c>
      <c r="D66" s="188" t="s">
        <v>108</v>
      </c>
      <c r="E66" s="188" t="s">
        <v>109</v>
      </c>
      <c r="F66" s="189" t="s">
        <v>110</v>
      </c>
      <c r="G66" s="189" t="s">
        <v>111</v>
      </c>
      <c r="H66" s="188" t="s">
        <v>112</v>
      </c>
      <c r="I66" s="188" t="s">
        <v>113</v>
      </c>
      <c r="J66" s="188" t="s">
        <v>114</v>
      </c>
      <c r="K66" s="188" t="s">
        <v>78</v>
      </c>
      <c r="L66" s="188" t="s">
        <v>115</v>
      </c>
      <c r="M66" s="188" t="s">
        <v>116</v>
      </c>
      <c r="N66" s="188" t="s">
        <v>117</v>
      </c>
      <c r="O66" s="190" t="s">
        <v>118</v>
      </c>
      <c r="P66" s="190" t="s">
        <v>119</v>
      </c>
      <c r="Q66" s="188" t="s">
        <v>120</v>
      </c>
      <c r="R66" s="94"/>
      <c r="S66" s="191" t="s">
        <v>121</v>
      </c>
      <c r="T66" s="192">
        <v>3.1E7</v>
      </c>
      <c r="U66" s="159">
        <v>0.17</v>
      </c>
      <c r="V66" s="185">
        <f t="shared" ref="V66:V73" si="1">U66+3%</f>
        <v>0.2</v>
      </c>
      <c r="W66" s="154">
        <v>0.27</v>
      </c>
      <c r="X66" s="186">
        <v>0.3</v>
      </c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</row>
    <row r="67" ht="15.75" customHeight="1">
      <c r="A67" s="101" t="s">
        <v>122</v>
      </c>
      <c r="B67" s="187" t="s">
        <v>123</v>
      </c>
      <c r="C67" s="193" t="s">
        <v>124</v>
      </c>
      <c r="D67" s="193" t="s">
        <v>124</v>
      </c>
      <c r="E67" s="194" t="s">
        <v>125</v>
      </c>
      <c r="F67" s="195" t="s">
        <v>125</v>
      </c>
      <c r="G67" s="196" t="s">
        <v>124</v>
      </c>
      <c r="H67" s="197" t="s">
        <v>124</v>
      </c>
      <c r="I67" s="198" t="s">
        <v>126</v>
      </c>
      <c r="J67" s="198">
        <f>G76</f>
        <v>2222850</v>
      </c>
      <c r="K67" s="198">
        <f>(G73+H73)*B7</f>
        <v>0</v>
      </c>
      <c r="L67" s="198"/>
      <c r="M67" s="193"/>
      <c r="N67" s="199">
        <f>G79</f>
        <v>0.008219178082</v>
      </c>
      <c r="O67" s="193">
        <f>E80</f>
        <v>0</v>
      </c>
      <c r="P67" s="193" t="s">
        <v>127</v>
      </c>
      <c r="Q67" s="200" t="str">
        <f>P64</f>
        <v/>
      </c>
      <c r="R67" s="94"/>
      <c r="S67" s="183" t="s">
        <v>121</v>
      </c>
      <c r="T67" s="184">
        <v>4.1E7</v>
      </c>
      <c r="U67" s="148">
        <v>0.11</v>
      </c>
      <c r="V67" s="185">
        <f t="shared" si="1"/>
        <v>0.14</v>
      </c>
      <c r="W67" s="154">
        <v>0.2</v>
      </c>
      <c r="X67" s="186">
        <v>0.23</v>
      </c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</row>
    <row r="68" ht="15.75" customHeight="1">
      <c r="A68" s="97" t="s">
        <v>128</v>
      </c>
      <c r="B68" s="201">
        <v>30000.0</v>
      </c>
      <c r="C68" s="202">
        <v>0.53</v>
      </c>
      <c r="D68" s="203">
        <f>B73</f>
        <v>0.145</v>
      </c>
      <c r="E68" s="204">
        <f>C68*D68</f>
        <v>0.07685</v>
      </c>
      <c r="F68" s="205">
        <f>B68*E68</f>
        <v>2305.5</v>
      </c>
      <c r="G68" s="206">
        <f>IF(C68&gt;0.4,C68,C68*2)</f>
        <v>0.53</v>
      </c>
      <c r="H68" s="207">
        <f>D68*B68</f>
        <v>4350</v>
      </c>
      <c r="I68" s="208">
        <f>O70/B68</f>
        <v>670.3594959</v>
      </c>
      <c r="J68" s="208"/>
      <c r="K68" s="208">
        <f>D68*360</f>
        <v>52.2</v>
      </c>
      <c r="L68" s="208">
        <f>20000/2000</f>
        <v>10</v>
      </c>
      <c r="M68" s="209">
        <f>30*20000/B68</f>
        <v>20</v>
      </c>
      <c r="N68" s="210">
        <f>G79*I68</f>
        <v>5.509804076</v>
      </c>
      <c r="O68" s="211">
        <v>50.0</v>
      </c>
      <c r="P68" s="212">
        <f>SUM(I68:O68)</f>
        <v>808.0693</v>
      </c>
      <c r="Q68" s="213">
        <v>820.0</v>
      </c>
      <c r="R68" s="94"/>
      <c r="S68" s="183" t="s">
        <v>121</v>
      </c>
      <c r="T68" s="214">
        <v>8.1E7</v>
      </c>
      <c r="U68" s="148">
        <v>0.08</v>
      </c>
      <c r="V68" s="185">
        <f t="shared" si="1"/>
        <v>0.11</v>
      </c>
      <c r="W68" s="154">
        <v>0.19</v>
      </c>
      <c r="X68" s="186">
        <v>0.21</v>
      </c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</row>
    <row r="69" ht="15.75" customHeight="1">
      <c r="A69" s="110" t="s">
        <v>129</v>
      </c>
      <c r="B69" s="215" t="s">
        <v>130</v>
      </c>
      <c r="C69" s="188" t="s">
        <v>131</v>
      </c>
      <c r="D69" s="188" t="s">
        <v>132</v>
      </c>
      <c r="E69" s="188" t="s">
        <v>16</v>
      </c>
      <c r="F69" s="188" t="s">
        <v>133</v>
      </c>
      <c r="G69" s="188" t="s">
        <v>134</v>
      </c>
      <c r="H69" s="188" t="s">
        <v>135</v>
      </c>
      <c r="I69" s="188" t="s">
        <v>136</v>
      </c>
      <c r="J69" s="216" t="s">
        <v>137</v>
      </c>
      <c r="K69" s="188" t="s">
        <v>138</v>
      </c>
      <c r="L69" s="188" t="s">
        <v>139</v>
      </c>
      <c r="M69" s="188" t="s">
        <v>140</v>
      </c>
      <c r="N69" s="188" t="s">
        <v>141</v>
      </c>
      <c r="O69" s="188" t="s">
        <v>142</v>
      </c>
      <c r="P69" s="188" t="s">
        <v>143</v>
      </c>
      <c r="Q69" s="217" t="s">
        <v>144</v>
      </c>
      <c r="R69" s="94"/>
      <c r="S69" s="183" t="s">
        <v>121</v>
      </c>
      <c r="T69" s="184">
        <v>1.01E8</v>
      </c>
      <c r="U69" s="165">
        <v>0.075</v>
      </c>
      <c r="V69" s="185">
        <f t="shared" si="1"/>
        <v>0.105</v>
      </c>
      <c r="W69" s="154">
        <v>0.18</v>
      </c>
      <c r="X69" s="186">
        <v>0.2</v>
      </c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</row>
    <row r="70" ht="15.75" customHeight="1">
      <c r="A70" s="110" t="s">
        <v>145</v>
      </c>
      <c r="B70" s="218">
        <v>135.0</v>
      </c>
      <c r="C70" s="219" t="s">
        <v>146</v>
      </c>
      <c r="D70" s="136" t="s">
        <v>30</v>
      </c>
      <c r="E70" s="208">
        <f>VLOOKUP(D70, Data2023!$B$6:$F$23, 3, FALSE)</f>
        <v>12</v>
      </c>
      <c r="F70" s="202">
        <v>0.55</v>
      </c>
      <c r="G70" s="208">
        <f>G72+H72</f>
        <v>4608.86</v>
      </c>
      <c r="H70" s="208">
        <f>IF(B74=8,1800,IF(B74=7,1700,IF(B74=6,1500,IF(B74=5,1200,IF(B74=4,1000,IF(B74=3,800,IF(B74=2,500,400)))))))+(G70/6000*40)+IF(G70&gt;50000,G70/50000*400,0)</f>
        <v>1030.725733</v>
      </c>
      <c r="I70" s="208">
        <f>VLOOKUP(D70,Data2023!$B$6:Data2023!$F$22,4,0)</f>
        <v>34090.90909</v>
      </c>
      <c r="J70" s="208">
        <f>VLOOKUP(D70,Data2023!$B$6:$F$24,5,0)</f>
        <v>572.7272727</v>
      </c>
      <c r="K70" s="208">
        <f>B74*IF(D70="PET 12",135,IF(D70="PA 15",135,120))*B80+318+B75</f>
        <v>798</v>
      </c>
      <c r="L70" s="208">
        <f t="shared" ref="L70:L73" si="2">K70*(H70+G70)*F70</f>
        <v>2475214.178</v>
      </c>
      <c r="M70" s="208">
        <f t="shared" ref="M70:M72" si="3">J70*(G70+H70)*F70</f>
        <v>1776469.506</v>
      </c>
      <c r="N70" s="208">
        <f t="shared" ref="N70:N73" si="4">M70+L70</f>
        <v>4251683.684</v>
      </c>
      <c r="O70" s="220">
        <f>SUM(N70:N73)</f>
        <v>20110784.88</v>
      </c>
      <c r="P70" s="221">
        <f>IF(P74=1,(IF(O70&lt;$S$43,$U$43,IF(O70&lt;$S$44,$U$44, IF(O70&lt;$S$45,$U$45,IF(O70&lt;$S$46,$U$46, IF(O70&lt;$S$47,$U$47, IF(O70&lt;$S$48,$U$48,IF(O70&lt;$S$49,$U$49,IF(O70&lt;$S$50,$U$50, IF(O70&lt;$S$51,$U$51,0.07)))))))))),(IF(O70&lt;$S$43,$W$43, IF(O70&lt;$S$44,$W$44, IF(O70&lt;$S$45,$W$45,IF(O70&lt;$S$46,$W$46, IF(O70&lt;$S$47,$W$47, IF(O70&lt;$S$48,$W$48,IF(O70&lt;$S$49,$W$49,IF(O70&lt;$S$50,$W$50, IF(O70&lt;$S$51,$W$51,0.14)))))))))))</f>
        <v>0.14</v>
      </c>
      <c r="Q70" s="222">
        <f>O70+P72</f>
        <v>22926294.76</v>
      </c>
      <c r="R70" s="94"/>
      <c r="S70" s="183" t="s">
        <v>121</v>
      </c>
      <c r="T70" s="184">
        <v>3.0E8</v>
      </c>
      <c r="U70" s="148">
        <v>0.07</v>
      </c>
      <c r="V70" s="185">
        <f t="shared" si="1"/>
        <v>0.1</v>
      </c>
      <c r="W70" s="154">
        <v>0.17</v>
      </c>
      <c r="X70" s="186">
        <v>0.19</v>
      </c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</row>
    <row r="71" ht="15.75" customHeight="1">
      <c r="A71" s="110" t="s">
        <v>147</v>
      </c>
      <c r="B71" s="223">
        <v>0.0</v>
      </c>
      <c r="C71" s="219" t="s">
        <v>148</v>
      </c>
      <c r="D71" s="136">
        <v>0.0</v>
      </c>
      <c r="E71" s="208"/>
      <c r="F71" s="203">
        <f>F70</f>
        <v>0.55</v>
      </c>
      <c r="G71" s="208">
        <f>IF(D71=0,0,G72+H72)</f>
        <v>0</v>
      </c>
      <c r="H71" s="208">
        <f>IF(G71=0,0,G71/3000*20+100)</f>
        <v>0</v>
      </c>
      <c r="I71" s="208"/>
      <c r="J71" s="208">
        <f>VLOOKUP(D71,Data2023!$B$6:$F$24,5,0)</f>
        <v>0</v>
      </c>
      <c r="K71" s="208">
        <f t="shared" ref="K71:K72" si="5">IF(D71=0,0,684)</f>
        <v>0</v>
      </c>
      <c r="L71" s="208">
        <f t="shared" si="2"/>
        <v>0</v>
      </c>
      <c r="M71" s="208">
        <f t="shared" si="3"/>
        <v>0</v>
      </c>
      <c r="N71" s="208">
        <f t="shared" si="4"/>
        <v>0</v>
      </c>
      <c r="O71" s="117"/>
      <c r="P71" s="118"/>
      <c r="Q71" s="163"/>
      <c r="R71" s="94"/>
      <c r="S71" s="183" t="s">
        <v>121</v>
      </c>
      <c r="T71" s="184">
        <v>4.0E8</v>
      </c>
      <c r="U71" s="148">
        <v>0.06</v>
      </c>
      <c r="V71" s="185">
        <f t="shared" si="1"/>
        <v>0.09</v>
      </c>
      <c r="W71" s="154">
        <v>0.16</v>
      </c>
      <c r="X71" s="186">
        <v>0.19</v>
      </c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</row>
    <row r="72" ht="15.75" customHeight="1">
      <c r="A72" s="110" t="s">
        <v>149</v>
      </c>
      <c r="B72" s="218">
        <v>0.54</v>
      </c>
      <c r="C72" s="219" t="s">
        <v>150</v>
      </c>
      <c r="D72" s="224" t="s">
        <v>48</v>
      </c>
      <c r="E72" s="225">
        <v>120.0</v>
      </c>
      <c r="F72" s="203">
        <f>F70</f>
        <v>0.55</v>
      </c>
      <c r="G72" s="208">
        <f>G73+H73</f>
        <v>4479</v>
      </c>
      <c r="H72" s="209">
        <f>G72/3000*20+100</f>
        <v>129.86</v>
      </c>
      <c r="I72" s="208">
        <f>VLOOKUP(D72,Data2023!$B$6:Data2023!$F$22,4,0)</f>
        <v>40000</v>
      </c>
      <c r="J72" s="208">
        <f>VLOOKUP(D72,Data2023!$B$6:$F$24,5,0)</f>
        <v>4440</v>
      </c>
      <c r="K72" s="208">
        <f t="shared" si="5"/>
        <v>684</v>
      </c>
      <c r="L72" s="208">
        <f t="shared" si="2"/>
        <v>1733853.132</v>
      </c>
      <c r="M72" s="208">
        <f t="shared" si="3"/>
        <v>11254836.12</v>
      </c>
      <c r="N72" s="208">
        <f t="shared" si="4"/>
        <v>12988689.25</v>
      </c>
      <c r="O72" s="117"/>
      <c r="P72" s="226">
        <f>P70*O70</f>
        <v>2815509.883</v>
      </c>
      <c r="Q72" s="163"/>
      <c r="R72" s="94"/>
      <c r="S72" s="183" t="s">
        <v>121</v>
      </c>
      <c r="T72" s="184">
        <v>6.0E8</v>
      </c>
      <c r="U72" s="148">
        <v>0.05</v>
      </c>
      <c r="V72" s="185">
        <f t="shared" si="1"/>
        <v>0.08</v>
      </c>
      <c r="W72" s="154">
        <v>0.15</v>
      </c>
      <c r="X72" s="186">
        <v>0.18</v>
      </c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</row>
    <row r="73" ht="15.75" customHeight="1">
      <c r="A73" s="110" t="s">
        <v>151</v>
      </c>
      <c r="B73" s="218">
        <v>0.145</v>
      </c>
      <c r="C73" s="219" t="s">
        <v>152</v>
      </c>
      <c r="D73" s="136"/>
      <c r="E73" s="208">
        <f>IF(OR(D71=0,D72=0),3,6)</f>
        <v>3</v>
      </c>
      <c r="F73" s="203">
        <f>F70</f>
        <v>0.55</v>
      </c>
      <c r="G73" s="208">
        <f>D68*B68</f>
        <v>4350</v>
      </c>
      <c r="H73" s="208">
        <f>G73/3000*20+100</f>
        <v>129</v>
      </c>
      <c r="I73" s="208"/>
      <c r="J73" s="208">
        <f>VLOOKUP(D73,Data2023!$B$6:$F$24,5,0)</f>
        <v>0</v>
      </c>
      <c r="K73" s="208">
        <f>IF(E68&lt;0.07,971*1.4,IF(E68&lt;0.2,971*1.2,971*0.8))</f>
        <v>1165.2</v>
      </c>
      <c r="L73" s="208">
        <f t="shared" si="2"/>
        <v>2870411.94</v>
      </c>
      <c r="M73" s="198">
        <f>(I79+J79)*D82</f>
        <v>0</v>
      </c>
      <c r="N73" s="208">
        <f t="shared" si="4"/>
        <v>2870411.94</v>
      </c>
      <c r="O73" s="120"/>
      <c r="P73" s="120"/>
      <c r="Q73" s="167"/>
      <c r="R73" s="94"/>
      <c r="S73" s="183" t="s">
        <v>153</v>
      </c>
      <c r="T73" s="184" t="s">
        <v>154</v>
      </c>
      <c r="U73" s="148">
        <v>0.04</v>
      </c>
      <c r="V73" s="185">
        <f t="shared" si="1"/>
        <v>0.07</v>
      </c>
      <c r="W73" s="154">
        <v>0.11</v>
      </c>
      <c r="X73" s="186">
        <f>W73+3%</f>
        <v>0.14</v>
      </c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</row>
    <row r="74" ht="15.75" customHeight="1">
      <c r="A74" s="97" t="s">
        <v>155</v>
      </c>
      <c r="B74" s="218">
        <v>4.0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78" t="s">
        <v>156</v>
      </c>
      <c r="P74" s="78">
        <v>2.0</v>
      </c>
      <c r="Q74" s="2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</row>
    <row r="75" ht="15.75" customHeight="1">
      <c r="A75" s="97" t="s">
        <v>157</v>
      </c>
      <c r="B75" s="227">
        <v>0.0</v>
      </c>
      <c r="C75" s="228" t="s">
        <v>158</v>
      </c>
      <c r="D75" s="228" t="s">
        <v>159</v>
      </c>
      <c r="E75" s="228" t="s">
        <v>160</v>
      </c>
      <c r="F75" s="228" t="s">
        <v>21</v>
      </c>
      <c r="G75" s="228" t="s">
        <v>161</v>
      </c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</row>
    <row r="76" ht="15.75" customHeight="1">
      <c r="A76" s="97" t="s">
        <v>162</v>
      </c>
      <c r="B76" s="230">
        <v>378.0</v>
      </c>
      <c r="C76" s="231" t="s">
        <v>114</v>
      </c>
      <c r="D76" s="232" t="s">
        <v>163</v>
      </c>
      <c r="E76" s="233">
        <f>IF(D68&gt;=0.4,D68,IF(D68*2 &gt;=0.4,D68*2,IF(D68*3 &gt;=0.4,D68*3,IF(D68*4 &gt;=0.4,D68*4,D68*5))))*IF(C68+0.1&lt;0.7,0.7,C68+0.1)*7300000</f>
        <v>2222850</v>
      </c>
      <c r="F76" s="232">
        <v>1.0</v>
      </c>
      <c r="G76" s="232">
        <f t="shared" ref="G76:G77" si="6">E76*F76</f>
        <v>2222850</v>
      </c>
      <c r="H76" s="229"/>
      <c r="I76" s="229"/>
      <c r="J76" s="229"/>
      <c r="K76" s="234"/>
      <c r="L76" s="229"/>
      <c r="M76" s="229"/>
      <c r="N76" s="229"/>
      <c r="O76" s="229"/>
      <c r="P76" s="229"/>
      <c r="Q76" s="229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</row>
    <row r="77" ht="15.75" customHeight="1">
      <c r="A77" s="235" t="s">
        <v>164</v>
      </c>
      <c r="B77" s="236">
        <f>(E68*B70)*0.93+B71</f>
        <v>9.6485175</v>
      </c>
      <c r="C77" s="231" t="s">
        <v>115</v>
      </c>
      <c r="D77" s="232" t="s">
        <v>165</v>
      </c>
      <c r="E77" s="233">
        <v>18000.0</v>
      </c>
      <c r="F77" s="232">
        <f>B68/1000</f>
        <v>30</v>
      </c>
      <c r="G77" s="232">
        <f t="shared" si="6"/>
        <v>540000</v>
      </c>
      <c r="H77" s="229"/>
      <c r="I77" s="237"/>
      <c r="J77" s="229"/>
      <c r="K77" s="229"/>
      <c r="L77" s="229"/>
      <c r="M77" s="229"/>
      <c r="N77" s="229"/>
      <c r="O77" s="229"/>
      <c r="P77" s="229"/>
      <c r="Q77" s="229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</row>
    <row r="78" ht="15.75" customHeight="1">
      <c r="A78" s="238" t="s">
        <v>166</v>
      </c>
      <c r="B78" s="236">
        <f>P68</f>
        <v>808.0693</v>
      </c>
      <c r="C78" s="231" t="s">
        <v>116</v>
      </c>
      <c r="D78" s="232" t="s">
        <v>167</v>
      </c>
      <c r="E78" s="233">
        <f>IF(B71=0,1000000,1500000)</f>
        <v>1000000</v>
      </c>
      <c r="F78" s="239">
        <f>B77*B68/1000000</f>
        <v>0.289455525</v>
      </c>
      <c r="G78" s="232">
        <f t="shared" ref="G78:G79" si="7">F78*E78</f>
        <v>289455.525</v>
      </c>
      <c r="H78" s="229"/>
      <c r="I78" s="237"/>
      <c r="J78" s="229"/>
      <c r="K78" s="229"/>
      <c r="L78" s="229"/>
      <c r="M78" s="229"/>
      <c r="N78" s="229"/>
      <c r="O78" s="170"/>
      <c r="P78" s="229"/>
      <c r="Q78" s="229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</row>
    <row r="79" ht="15.75" customHeight="1">
      <c r="A79" s="238" t="s">
        <v>168</v>
      </c>
      <c r="B79" s="236">
        <f>B68/30000+4</f>
        <v>5</v>
      </c>
      <c r="C79" s="231" t="s">
        <v>117</v>
      </c>
      <c r="D79" s="232" t="s">
        <v>169</v>
      </c>
      <c r="E79" s="240">
        <f>10%/365*100%</f>
        <v>0.0002739726027</v>
      </c>
      <c r="F79" s="232">
        <v>30.0</v>
      </c>
      <c r="G79" s="241">
        <f t="shared" si="7"/>
        <v>0.008219178082</v>
      </c>
      <c r="H79" s="229"/>
      <c r="I79" s="237"/>
      <c r="J79" s="229"/>
      <c r="K79" s="234" t="s">
        <v>170</v>
      </c>
      <c r="L79" s="242">
        <v>1000000.0</v>
      </c>
      <c r="M79" s="234">
        <v>1000.0</v>
      </c>
      <c r="N79" s="234">
        <v>1000.0</v>
      </c>
      <c r="O79" s="170"/>
      <c r="P79" s="229"/>
      <c r="Q79" s="229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</row>
    <row r="80" ht="15.75" customHeight="1">
      <c r="A80" s="238" t="s">
        <v>171</v>
      </c>
      <c r="B80" s="243">
        <v>1.0</v>
      </c>
      <c r="C80" s="231" t="s">
        <v>118</v>
      </c>
      <c r="D80" s="232" t="s">
        <v>172</v>
      </c>
      <c r="E80" s="244">
        <v>0.0</v>
      </c>
      <c r="F80" s="232">
        <f>B68</f>
        <v>30000</v>
      </c>
      <c r="G80" s="232">
        <f>F80*E80*I68</f>
        <v>0</v>
      </c>
      <c r="H80" s="229"/>
      <c r="I80" s="237"/>
      <c r="J80" s="229"/>
      <c r="K80" s="234" t="s">
        <v>173</v>
      </c>
      <c r="L80" s="242">
        <v>5000000.0</v>
      </c>
      <c r="M80" s="234">
        <v>5000.0</v>
      </c>
      <c r="N80" s="234">
        <v>1000.0</v>
      </c>
      <c r="O80" s="229"/>
      <c r="P80" s="229"/>
      <c r="Q80" s="229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</row>
    <row r="81" ht="15.75" customHeight="1">
      <c r="A81" s="245" t="s">
        <v>120</v>
      </c>
      <c r="B81" s="246" t="str">
        <f>Q67</f>
        <v/>
      </c>
      <c r="C81" s="247"/>
      <c r="D81" s="247"/>
      <c r="E81" s="247"/>
      <c r="F81" s="247"/>
      <c r="G81" s="247"/>
      <c r="H81" s="94"/>
      <c r="I81" s="94"/>
      <c r="J81" s="94"/>
      <c r="K81" s="94"/>
      <c r="L81" s="248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</row>
    <row r="82" ht="15.75" customHeight="1">
      <c r="A82" s="235" t="s">
        <v>174</v>
      </c>
      <c r="B82" s="235" t="str">
        <f>IF(SUM(E70:E73)=B70,"OK","SAI_Ô_F11")</f>
        <v>OK</v>
      </c>
      <c r="C82" s="247"/>
      <c r="D82" s="247"/>
      <c r="E82" s="247"/>
      <c r="F82" s="247"/>
      <c r="G82" s="247"/>
      <c r="H82" s="94"/>
      <c r="I82" s="94"/>
      <c r="J82" s="94"/>
      <c r="K82" s="94"/>
      <c r="L82" s="248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</row>
    <row r="83" ht="15.75" customHeight="1">
      <c r="A83" s="247"/>
      <c r="B83" s="247"/>
      <c r="C83" s="247"/>
      <c r="D83" s="247"/>
      <c r="E83" s="247"/>
      <c r="F83" s="247"/>
      <c r="G83" s="247"/>
      <c r="H83" s="94"/>
      <c r="I83" s="94"/>
      <c r="J83" s="94"/>
      <c r="K83" s="94"/>
      <c r="L83" s="248"/>
      <c r="M83" s="94"/>
      <c r="N83" s="94"/>
      <c r="O83" s="94"/>
      <c r="P83" s="94"/>
      <c r="Q83" s="249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</row>
    <row r="84" ht="15.75" customHeight="1">
      <c r="A84" s="247"/>
      <c r="B84" s="247"/>
      <c r="C84" s="247"/>
      <c r="D84" s="247"/>
      <c r="E84" s="247"/>
      <c r="F84" s="247"/>
      <c r="G84" s="247"/>
      <c r="H84" s="94"/>
      <c r="I84" s="94"/>
      <c r="J84" s="94"/>
      <c r="K84" s="94"/>
      <c r="L84" s="248"/>
      <c r="M84" s="94"/>
      <c r="N84" s="94"/>
      <c r="O84" s="175" t="s">
        <v>175</v>
      </c>
      <c r="P84" s="175">
        <f>SUM(I89:N89)*1.05</f>
        <v>1665.484701</v>
      </c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175" t="s">
        <v>176</v>
      </c>
      <c r="P85" s="176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175" t="s">
        <v>177</v>
      </c>
      <c r="P86" s="175">
        <f>P84+32</f>
        <v>1697.484701</v>
      </c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</row>
    <row r="87" ht="33.0" customHeight="1">
      <c r="A87" s="97" t="s">
        <v>105</v>
      </c>
      <c r="B87" s="250"/>
      <c r="C87" s="99" t="s">
        <v>107</v>
      </c>
      <c r="D87" s="99" t="s">
        <v>108</v>
      </c>
      <c r="E87" s="99" t="s">
        <v>109</v>
      </c>
      <c r="F87" s="100" t="s">
        <v>110</v>
      </c>
      <c r="G87" s="100" t="s">
        <v>111</v>
      </c>
      <c r="H87" s="99" t="s">
        <v>112</v>
      </c>
      <c r="I87" s="99" t="s">
        <v>113</v>
      </c>
      <c r="J87" s="251" t="s">
        <v>114</v>
      </c>
      <c r="K87" s="99" t="s">
        <v>78</v>
      </c>
      <c r="L87" s="99" t="s">
        <v>115</v>
      </c>
      <c r="M87" s="99" t="s">
        <v>116</v>
      </c>
      <c r="N87" s="99" t="s">
        <v>117</v>
      </c>
      <c r="O87" s="252" t="s">
        <v>118</v>
      </c>
      <c r="P87" s="252" t="s">
        <v>119</v>
      </c>
      <c r="Q87" s="99" t="s">
        <v>120</v>
      </c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</row>
    <row r="88" ht="15.75" customHeight="1">
      <c r="A88" s="101" t="s">
        <v>122</v>
      </c>
      <c r="B88" s="250" t="s">
        <v>178</v>
      </c>
      <c r="C88" s="103" t="s">
        <v>124</v>
      </c>
      <c r="D88" s="103" t="s">
        <v>124</v>
      </c>
      <c r="E88" s="103" t="s">
        <v>125</v>
      </c>
      <c r="F88" s="104" t="s">
        <v>125</v>
      </c>
      <c r="G88" s="103" t="s">
        <v>124</v>
      </c>
      <c r="H88" s="104" t="s">
        <v>124</v>
      </c>
      <c r="I88" s="104" t="s">
        <v>126</v>
      </c>
      <c r="J88" s="253">
        <f>G97</f>
        <v>3842720</v>
      </c>
      <c r="K88" s="104">
        <f>(G94+H94)*B97</f>
        <v>2168712</v>
      </c>
      <c r="L88" s="104">
        <f>G98</f>
        <v>360000</v>
      </c>
      <c r="M88" s="103">
        <f>G99</f>
        <v>284356.8</v>
      </c>
      <c r="N88" s="144">
        <f>G100</f>
        <v>0.008219178082</v>
      </c>
      <c r="O88" s="103">
        <f>E101</f>
        <v>0</v>
      </c>
      <c r="P88" s="103" t="s">
        <v>127</v>
      </c>
      <c r="Q88" s="145">
        <f>P86</f>
        <v>1697.484701</v>
      </c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</row>
    <row r="89" ht="15.75" customHeight="1">
      <c r="A89" s="97" t="s">
        <v>128</v>
      </c>
      <c r="B89" s="123">
        <v>20000.0</v>
      </c>
      <c r="C89" s="105">
        <f>B93</f>
        <v>0.84</v>
      </c>
      <c r="D89" s="105">
        <f>B94</f>
        <v>0.28</v>
      </c>
      <c r="E89" s="106">
        <f>C89*D89</f>
        <v>0.2352</v>
      </c>
      <c r="F89" s="107">
        <f>B89*E89</f>
        <v>4704</v>
      </c>
      <c r="G89" s="105">
        <f>IF(C89&gt;0.4,C89,C89*2)</f>
        <v>0.84</v>
      </c>
      <c r="H89" s="107">
        <f>F89/G89</f>
        <v>5600</v>
      </c>
      <c r="I89" s="107">
        <f>Q91/B89</f>
        <v>1433.738315</v>
      </c>
      <c r="J89" s="107"/>
      <c r="K89" s="254">
        <f>K88/B89</f>
        <v>108.4356</v>
      </c>
      <c r="L89" s="107">
        <f>L88/B89</f>
        <v>18</v>
      </c>
      <c r="M89" s="108">
        <f>G99/B89</f>
        <v>14.21784</v>
      </c>
      <c r="N89" s="109">
        <f>G100*I89</f>
        <v>11.78415054</v>
      </c>
      <c r="O89" s="108">
        <f>O88*I89</f>
        <v>0</v>
      </c>
      <c r="P89" s="255">
        <f>SUM(I89:O89)</f>
        <v>1586.175906</v>
      </c>
      <c r="Q89" s="145" t="str">
        <f>B102</f>
        <v/>
      </c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</row>
    <row r="90" ht="27.0" customHeight="1">
      <c r="A90" s="110" t="s">
        <v>129</v>
      </c>
      <c r="B90" s="111" t="s">
        <v>179</v>
      </c>
      <c r="C90" s="112" t="s">
        <v>131</v>
      </c>
      <c r="D90" s="112" t="s">
        <v>132</v>
      </c>
      <c r="E90" s="112" t="s">
        <v>16</v>
      </c>
      <c r="F90" s="112" t="s">
        <v>133</v>
      </c>
      <c r="G90" s="112" t="s">
        <v>134</v>
      </c>
      <c r="H90" s="112" t="s">
        <v>135</v>
      </c>
      <c r="I90" s="112" t="s">
        <v>136</v>
      </c>
      <c r="J90" s="112" t="s">
        <v>180</v>
      </c>
      <c r="K90" s="112" t="s">
        <v>138</v>
      </c>
      <c r="L90" s="112" t="s">
        <v>139</v>
      </c>
      <c r="M90" s="112" t="s">
        <v>140</v>
      </c>
      <c r="N90" s="112" t="s">
        <v>141</v>
      </c>
      <c r="O90" s="112" t="s">
        <v>142</v>
      </c>
      <c r="P90" s="112" t="s">
        <v>143</v>
      </c>
      <c r="Q90" s="156" t="s">
        <v>144</v>
      </c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</row>
    <row r="91" ht="15.75" customHeight="1">
      <c r="A91" s="110" t="s">
        <v>145</v>
      </c>
      <c r="B91" s="102">
        <v>65.0</v>
      </c>
      <c r="C91" s="106" t="s">
        <v>146</v>
      </c>
      <c r="D91" s="136" t="s">
        <v>30</v>
      </c>
      <c r="E91" s="107">
        <f>VLOOKUP(D91, Data2023!$B$6:$F$23, 3, FALSE)</f>
        <v>12</v>
      </c>
      <c r="F91" s="105">
        <f>IF(D91=0,0,F94+0.02)</f>
        <v>0.86</v>
      </c>
      <c r="G91" s="107">
        <f>IF(D91=0,0,G94+H94+H93+H92)</f>
        <v>5875.582222</v>
      </c>
      <c r="H91" s="107">
        <f>IF(B95=8,1800,IF(B95=7,1700,IF(B95=6,1500,IF(B95=5,1200,IF(B95=4,1000,IF(B95=3,800,IF(B95=2,500,400)))))))+(G91/6000*40)+IF(G91&gt;50000,G91/50000*400,0)</f>
        <v>539.1705481</v>
      </c>
      <c r="I91" s="107">
        <f>VLOOKUP(D91,Data2023!$B$6:Data2023!$F$22,4,0)</f>
        <v>34090.90909</v>
      </c>
      <c r="J91" s="107">
        <f>VLOOKUP(D91,Data2023!$B$6:$F$24,5,0)</f>
        <v>572.7272727</v>
      </c>
      <c r="K91" s="107">
        <f>B95*IF(D91="PET 12",135,IF(D91="PA 15",135,120))*B101+318+B96</f>
        <v>958</v>
      </c>
      <c r="L91" s="107">
        <f t="shared" ref="L91:L94" si="8">K91*(H91+G91)*F91</f>
        <v>5284986.512</v>
      </c>
      <c r="M91" s="107">
        <f t="shared" ref="M91:M93" si="9">J91*(G91+H91)*F91</f>
        <v>3159557.319</v>
      </c>
      <c r="N91" s="107">
        <f t="shared" ref="N91:N94" si="10">M91+L91</f>
        <v>8444543.832</v>
      </c>
      <c r="O91" s="114">
        <f>SUM(N91:N94)</f>
        <v>25153303.78</v>
      </c>
      <c r="P91" s="256">
        <f>IF(P95=1,(IF(O91&lt;$S$43,$U$43,IF(O91&lt;$S$44,$U$44, IF(O91&lt;$S$45,$U$45,IF(O91&lt;$S$46,$U$46, IF(O91&lt;$S$47,$U$47, IF(O91&lt;$S$48,$U$48,IF(O91&lt;$S$49,$U$49,IF(O91&lt;$S$50,$U$50, IF(O91&lt;$S$51,$U$51,0.07)))))))))),(IF(O91&lt;$S$43,$W$43, IF(O91&lt;$S$44,$W$44, IF(O91&lt;$S$45,$W$45,IF(O91&lt;$S$46,$W$46, IF(O91&lt;$S$47,$W$47, IF(O91&lt;$S$48,$W$48,IF(O91&lt;$S$49,$W$49,IF(O91&lt;$S$50,$W$50, IF(O91&lt;$S$51,$W$51,0.14)))))))))))</f>
        <v>0.14</v>
      </c>
      <c r="Q91" s="161">
        <f>O91+P93</f>
        <v>28674766.31</v>
      </c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</row>
    <row r="92" ht="15.75" customHeight="1">
      <c r="A92" s="110" t="s">
        <v>147</v>
      </c>
      <c r="B92" s="102">
        <v>0.0</v>
      </c>
      <c r="C92" s="106" t="s">
        <v>148</v>
      </c>
      <c r="D92" s="136">
        <v>0.0</v>
      </c>
      <c r="E92" s="107"/>
      <c r="F92" s="105">
        <f>IF(D92=0,0,F94+0.02)</f>
        <v>0</v>
      </c>
      <c r="G92" s="107">
        <f>IF(D92=0,0,G93+H93)</f>
        <v>0</v>
      </c>
      <c r="H92" s="107">
        <f>IF(G92=0,0,G92/3000*20+100)</f>
        <v>0</v>
      </c>
      <c r="I92" s="107"/>
      <c r="J92" s="107">
        <f>VLOOKUP(D92,Data2023!$B$6:$F$24,5,0)</f>
        <v>0</v>
      </c>
      <c r="K92" s="107">
        <f t="shared" ref="K92:K93" si="11">IF(D92=0,0,684)</f>
        <v>0</v>
      </c>
      <c r="L92" s="107">
        <f t="shared" si="8"/>
        <v>0</v>
      </c>
      <c r="M92" s="107">
        <f t="shared" si="9"/>
        <v>0</v>
      </c>
      <c r="N92" s="107">
        <f t="shared" si="10"/>
        <v>0</v>
      </c>
      <c r="O92" s="117"/>
      <c r="P92" s="118"/>
      <c r="Q92" s="163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</row>
    <row r="93" ht="15.75" customHeight="1">
      <c r="A93" s="110" t="s">
        <v>149</v>
      </c>
      <c r="B93" s="102">
        <f>0.42*2</f>
        <v>0.84</v>
      </c>
      <c r="C93" s="106" t="s">
        <v>150</v>
      </c>
      <c r="D93" s="136" t="s">
        <v>45</v>
      </c>
      <c r="E93" s="107">
        <f>VLOOKUP(D93, Data2023!$B$6:$F$23, 3, FALSE)</f>
        <v>50</v>
      </c>
      <c r="F93" s="105">
        <f>IF(D93=0,0,F94+0.02)</f>
        <v>0.86</v>
      </c>
      <c r="G93" s="107">
        <f>IF(F93=0,0,H94+G94)</f>
        <v>5737.333333</v>
      </c>
      <c r="H93" s="108">
        <f>IF(G93=0,0,(G93/3000*20+100))</f>
        <v>138.2488889</v>
      </c>
      <c r="I93" s="107">
        <f>VLOOKUP(D93,Data2023!$B$6:Data2023!$F$22,4,0)</f>
        <v>40909.09091</v>
      </c>
      <c r="J93" s="107">
        <f>VLOOKUP(D93,Data2023!$B$6:$F$24,5,0)</f>
        <v>1881.818182</v>
      </c>
      <c r="K93" s="107">
        <f t="shared" si="11"/>
        <v>684</v>
      </c>
      <c r="L93" s="107">
        <f t="shared" si="8"/>
        <v>3456252.486</v>
      </c>
      <c r="M93" s="107">
        <f t="shared" si="9"/>
        <v>9508828.611</v>
      </c>
      <c r="N93" s="107">
        <f t="shared" si="10"/>
        <v>12965081.1</v>
      </c>
      <c r="O93" s="117"/>
      <c r="P93" s="119">
        <f>P91*O91</f>
        <v>3521462.529</v>
      </c>
      <c r="Q93" s="163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</row>
    <row r="94" ht="15.75" customHeight="1">
      <c r="A94" s="110" t="s">
        <v>151</v>
      </c>
      <c r="B94" s="102">
        <v>0.28</v>
      </c>
      <c r="C94" s="106" t="s">
        <v>152</v>
      </c>
      <c r="D94" s="166"/>
      <c r="E94" s="107">
        <f>IF(OR(D92=0,D93=0),3,6)</f>
        <v>3</v>
      </c>
      <c r="F94" s="105">
        <f t="shared" ref="F94:G94" si="12">G89</f>
        <v>0.84</v>
      </c>
      <c r="G94" s="107">
        <f t="shared" si="12"/>
        <v>5600</v>
      </c>
      <c r="H94" s="107">
        <f>G94/3000*20+100</f>
        <v>137.3333333</v>
      </c>
      <c r="I94" s="107"/>
      <c r="J94" s="107">
        <f>VLOOKUP(D94,Data2023!$B$6:$F$24,5,0)</f>
        <v>0</v>
      </c>
      <c r="K94" s="107">
        <f>IF(E89&lt;0.07,971*1.4,IF(E89&lt;0.2,971*1.2,971*0.8))</f>
        <v>776.8</v>
      </c>
      <c r="L94" s="107">
        <f t="shared" si="8"/>
        <v>3743678.848</v>
      </c>
      <c r="M94" s="104">
        <f>(I100+J100)*D103</f>
        <v>0</v>
      </c>
      <c r="N94" s="107">
        <f t="shared" si="10"/>
        <v>3743678.848</v>
      </c>
      <c r="O94" s="120"/>
      <c r="P94" s="120"/>
      <c r="Q94" s="167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</row>
    <row r="95" ht="15.75" customHeight="1">
      <c r="A95" s="97" t="s">
        <v>155</v>
      </c>
      <c r="B95" s="102">
        <v>2.0</v>
      </c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68" t="s">
        <v>156</v>
      </c>
      <c r="P95" s="168">
        <v>2.0</v>
      </c>
      <c r="Q95" s="121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</row>
    <row r="96" ht="15.75" customHeight="1">
      <c r="A96" s="97" t="s">
        <v>157</v>
      </c>
      <c r="B96" s="102">
        <v>400.0</v>
      </c>
      <c r="C96" s="122" t="s">
        <v>158</v>
      </c>
      <c r="D96" s="122" t="s">
        <v>159</v>
      </c>
      <c r="E96" s="122" t="s">
        <v>160</v>
      </c>
      <c r="F96" s="122" t="s">
        <v>21</v>
      </c>
      <c r="G96" s="122" t="s">
        <v>161</v>
      </c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</row>
    <row r="97" ht="15.75" customHeight="1">
      <c r="A97" s="97" t="s">
        <v>162</v>
      </c>
      <c r="B97" s="36">
        <v>378.0</v>
      </c>
      <c r="C97" s="101" t="s">
        <v>114</v>
      </c>
      <c r="D97" s="124" t="s">
        <v>163</v>
      </c>
      <c r="E97" s="125">
        <f>IF(D89&gt;=0.4,D89,IF(D89*2 &gt;=0.4,D89*2,IF(D89*3 &gt;=0.4,D89*3,IF(D89*4 &gt;=0.4,D89*4,D89*5))))*IF(C89+0.1&lt;0.7,0.7,C89+0.1)*7300000</f>
        <v>3842720</v>
      </c>
      <c r="F97" s="124">
        <v>1.0</v>
      </c>
      <c r="G97" s="124">
        <f t="shared" ref="G97:G98" si="13">E97*F97</f>
        <v>3842720</v>
      </c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</row>
    <row r="98" ht="15.75" customHeight="1">
      <c r="A98" s="110" t="s">
        <v>164</v>
      </c>
      <c r="B98" s="257">
        <f>(E89*B91)*0.93+B92</f>
        <v>14.21784</v>
      </c>
      <c r="C98" s="101" t="s">
        <v>115</v>
      </c>
      <c r="D98" s="124" t="s">
        <v>165</v>
      </c>
      <c r="E98" s="125">
        <v>18000.0</v>
      </c>
      <c r="F98" s="124">
        <f>B89/1000</f>
        <v>20</v>
      </c>
      <c r="G98" s="124">
        <f t="shared" si="13"/>
        <v>360000</v>
      </c>
      <c r="H98" s="94"/>
      <c r="I98" s="169"/>
      <c r="J98" s="94"/>
      <c r="K98" s="94"/>
      <c r="L98" s="94"/>
      <c r="M98" s="94"/>
      <c r="N98" s="94"/>
      <c r="O98" s="258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</row>
    <row r="99" ht="15.75" customHeight="1">
      <c r="A99" s="97" t="s">
        <v>166</v>
      </c>
      <c r="B99" s="127">
        <f>P89</f>
        <v>1586.175906</v>
      </c>
      <c r="C99" s="101" t="s">
        <v>116</v>
      </c>
      <c r="D99" s="124" t="s">
        <v>167</v>
      </c>
      <c r="E99" s="125">
        <f>IF(B92=0,1000000,1500000)</f>
        <v>1000000</v>
      </c>
      <c r="F99" s="128">
        <f>B98*B89/1000000</f>
        <v>0.2843568</v>
      </c>
      <c r="G99" s="124">
        <f t="shared" ref="G99:G100" si="14">F99*E99</f>
        <v>284356.8</v>
      </c>
      <c r="H99" s="94"/>
      <c r="I99" s="169"/>
      <c r="J99" s="94"/>
      <c r="K99" s="94"/>
      <c r="L99" s="94"/>
      <c r="M99" s="94"/>
      <c r="N99" s="94"/>
      <c r="O99" s="259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</row>
    <row r="100" ht="15.75" customHeight="1">
      <c r="A100" s="97" t="s">
        <v>168</v>
      </c>
      <c r="B100" s="127">
        <f>B89/30000+4</f>
        <v>4.666666667</v>
      </c>
      <c r="C100" s="101" t="s">
        <v>117</v>
      </c>
      <c r="D100" s="124" t="s">
        <v>169</v>
      </c>
      <c r="E100" s="129">
        <f>10%/365*100%</f>
        <v>0.0002739726027</v>
      </c>
      <c r="F100" s="124">
        <v>30.0</v>
      </c>
      <c r="G100" s="130">
        <f t="shared" si="14"/>
        <v>0.008219178082</v>
      </c>
      <c r="H100" s="94"/>
      <c r="I100" s="169"/>
      <c r="J100" s="94"/>
      <c r="K100" s="94"/>
      <c r="L100" s="94"/>
      <c r="M100" s="94"/>
      <c r="N100" s="94"/>
      <c r="O100" s="259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</row>
    <row r="101" ht="15.75" customHeight="1">
      <c r="A101" s="97" t="s">
        <v>171</v>
      </c>
      <c r="B101" s="131">
        <v>1.0</v>
      </c>
      <c r="C101" s="101" t="s">
        <v>118</v>
      </c>
      <c r="D101" s="124" t="s">
        <v>172</v>
      </c>
      <c r="E101" s="132">
        <v>0.0</v>
      </c>
      <c r="F101" s="124">
        <f>B89</f>
        <v>20000</v>
      </c>
      <c r="G101" s="124">
        <f>F101*E101*I89</f>
        <v>0</v>
      </c>
      <c r="H101" s="94"/>
      <c r="I101" s="169"/>
      <c r="J101" s="94"/>
      <c r="K101" s="94"/>
      <c r="L101" s="94"/>
      <c r="M101" s="94"/>
      <c r="N101" s="94"/>
      <c r="O101" s="258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116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116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116"/>
      <c r="K104" s="116"/>
      <c r="L104" s="116"/>
      <c r="M104" s="116"/>
      <c r="N104" s="94"/>
      <c r="O104" s="94"/>
      <c r="P104" s="94"/>
      <c r="Q104" s="116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116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116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116"/>
      <c r="K107" s="116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116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116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</row>
  </sheetData>
  <mergeCells count="22">
    <mergeCell ref="Q27:Q30"/>
    <mergeCell ref="R42:S42"/>
    <mergeCell ref="O8:O11"/>
    <mergeCell ref="P8:P9"/>
    <mergeCell ref="Q8:Q11"/>
    <mergeCell ref="P10:P11"/>
    <mergeCell ref="O27:O30"/>
    <mergeCell ref="P27:P28"/>
    <mergeCell ref="P29:P30"/>
    <mergeCell ref="P70:P71"/>
    <mergeCell ref="P72:P73"/>
    <mergeCell ref="O91:O94"/>
    <mergeCell ref="P91:P92"/>
    <mergeCell ref="Q91:Q94"/>
    <mergeCell ref="P93:P94"/>
    <mergeCell ref="O46:O49"/>
    <mergeCell ref="P46:P47"/>
    <mergeCell ref="Q46:Q49"/>
    <mergeCell ref="P48:P49"/>
    <mergeCell ref="S63:T63"/>
    <mergeCell ref="O70:O73"/>
    <mergeCell ref="Q70:Q73"/>
  </mergeCells>
  <dataValidations>
    <dataValidation type="list" allowBlank="1" showErrorMessage="1" sqref="B14 B33">
      <formula1>"0,378"</formula1>
    </dataValidation>
    <dataValidation type="list" allowBlank="1" showErrorMessage="1" sqref="D27:D28 D46 D70 D91">
      <formula1>$B$6:$B$21</formula1>
    </dataValidation>
    <dataValidation type="list" allowBlank="1" sqref="D47">
      <formula1>Data2023!$B$6:$B$21</formula1>
    </dataValidation>
    <dataValidation type="list" allowBlank="1" showErrorMessage="1" sqref="D72 D93">
      <formula1>"LLDPE,CPP 25,CPP 50"</formula1>
    </dataValidation>
    <dataValidation type="list" allowBlank="1" showErrorMessage="1" sqref="D48">
      <formula1>"LLDPE,CPP 25,0"</formula1>
    </dataValidation>
    <dataValidation type="list" allowBlank="1" showErrorMessage="1" sqref="B52 B76 B97">
      <formula1>"0,378,210"</formula1>
    </dataValidation>
    <dataValidation type="list" allowBlank="1" showErrorMessage="1" sqref="B13 B32 B51 B75 B96">
      <formula1>"0,200,400"</formula1>
    </dataValidation>
    <dataValidation type="list" allowBlank="1" showErrorMessage="1" sqref="D10 D29">
      <formula1>"LLDPE,CPP,0"</formula1>
    </dataValidation>
    <dataValidation type="list" allowBlank="1" showErrorMessage="1" sqref="B18 B37 B56 B80 B101">
      <formula1>"50%,100%"</formula1>
    </dataValidation>
    <dataValidation type="list" allowBlank="1" showErrorMessage="1" sqref="D49 D73 D94">
      <formula1>"LLDPE,CPP 25,0,Màng ngọc 30-40"</formula1>
    </dataValidation>
    <dataValidation type="list" allowBlank="1" showErrorMessage="1" sqref="D8:D9">
      <formula1>Data2023!$B$6:$B$21</formula1>
    </dataValidation>
    <dataValidation type="list" allowBlank="1" sqref="D71 D92">
      <formula1>$B$6:$B$21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7.88"/>
    <col customWidth="1" min="3" max="3" width="8.38"/>
    <col customWidth="1" min="4" max="4" width="5.13"/>
    <col customWidth="1" min="5" max="5" width="5.75"/>
    <col customWidth="1" min="6" max="6" width="6.0"/>
    <col customWidth="1" min="7" max="7" width="12.75"/>
    <col customWidth="1" min="8" max="8" width="11.0"/>
    <col customWidth="1" min="9" max="9" width="10.25"/>
    <col customWidth="1" min="10" max="10" width="16.63"/>
    <col customWidth="1" min="11" max="12" width="9.13"/>
    <col customWidth="1" min="13" max="15" width="8.25"/>
    <col customWidth="1" min="16" max="19" width="8.75"/>
    <col customWidth="1" min="20" max="20" width="10.25"/>
    <col customWidth="1" min="21" max="21" width="7.25"/>
    <col customWidth="1" min="22" max="22" width="6.13"/>
    <col customWidth="1" min="23" max="23" width="7.75"/>
    <col customWidth="1" min="24" max="24" width="7.13"/>
    <col customWidth="1" min="25" max="25" width="5.75"/>
  </cols>
  <sheetData>
    <row r="1" ht="15.75" customHeight="1">
      <c r="A1" s="1" t="s">
        <v>0</v>
      </c>
      <c r="G1" s="260"/>
      <c r="H1" s="261"/>
      <c r="I1" s="261"/>
      <c r="J1" s="261"/>
    </row>
    <row r="2" ht="15.75" customHeight="1">
      <c r="A2" s="262" t="s">
        <v>181</v>
      </c>
      <c r="B2" s="263"/>
      <c r="C2" s="263"/>
      <c r="D2" s="261"/>
    </row>
    <row r="3" ht="15.75" customHeight="1">
      <c r="A3" s="264" t="s">
        <v>182</v>
      </c>
      <c r="B3" s="264"/>
      <c r="C3" s="265">
        <v>44985.0</v>
      </c>
      <c r="O3" s="94"/>
    </row>
    <row r="4" ht="15.75" customHeight="1">
      <c r="A4" s="266" t="s">
        <v>183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 t="s">
        <v>3</v>
      </c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6"/>
      <c r="AH4" s="266"/>
    </row>
    <row r="5" ht="42.75" customHeight="1">
      <c r="A5" s="267" t="s">
        <v>184</v>
      </c>
      <c r="B5" s="268" t="s">
        <v>185</v>
      </c>
      <c r="C5" s="268" t="s">
        <v>186</v>
      </c>
      <c r="D5" s="268" t="s">
        <v>187</v>
      </c>
      <c r="E5" s="268" t="s">
        <v>188</v>
      </c>
      <c r="F5" s="268" t="s">
        <v>189</v>
      </c>
      <c r="G5" s="269" t="s">
        <v>190</v>
      </c>
      <c r="H5" s="270" t="s">
        <v>190</v>
      </c>
      <c r="I5" s="271" t="s">
        <v>191</v>
      </c>
      <c r="J5" s="271" t="s">
        <v>192</v>
      </c>
      <c r="K5" s="271" t="s">
        <v>193</v>
      </c>
      <c r="L5" s="272" t="s">
        <v>194</v>
      </c>
      <c r="M5" s="272" t="s">
        <v>194</v>
      </c>
      <c r="N5" s="272" t="s">
        <v>195</v>
      </c>
      <c r="O5" s="272" t="s">
        <v>196</v>
      </c>
      <c r="P5" s="272" t="s">
        <v>197</v>
      </c>
      <c r="Q5" s="272" t="s">
        <v>197</v>
      </c>
      <c r="R5" s="271" t="s">
        <v>198</v>
      </c>
      <c r="S5" s="271" t="s">
        <v>199</v>
      </c>
      <c r="T5" s="271" t="s">
        <v>200</v>
      </c>
      <c r="U5" s="271" t="s">
        <v>113</v>
      </c>
      <c r="V5" s="273" t="s">
        <v>201</v>
      </c>
      <c r="W5" s="273" t="s">
        <v>202</v>
      </c>
      <c r="X5" s="273" t="s">
        <v>203</v>
      </c>
      <c r="Y5" s="273" t="s">
        <v>204</v>
      </c>
      <c r="Z5" s="95"/>
      <c r="AA5" s="95"/>
      <c r="AB5" s="95"/>
      <c r="AC5" s="95"/>
      <c r="AD5" s="95"/>
      <c r="AE5" s="95"/>
      <c r="AF5" s="95"/>
      <c r="AG5" s="95"/>
      <c r="AH5" s="95"/>
    </row>
    <row r="6" ht="19.5" customHeight="1">
      <c r="A6" s="120"/>
      <c r="B6" s="274" t="s">
        <v>26</v>
      </c>
      <c r="C6" s="268" t="s">
        <v>205</v>
      </c>
      <c r="D6" s="268">
        <v>200.0</v>
      </c>
      <c r="E6" s="268">
        <v>200.0</v>
      </c>
      <c r="F6" s="268" t="s">
        <v>124</v>
      </c>
      <c r="G6" s="275" t="s">
        <v>125</v>
      </c>
      <c r="H6" s="276" t="s">
        <v>124</v>
      </c>
      <c r="I6" s="277" t="s">
        <v>124</v>
      </c>
      <c r="J6" s="277" t="s">
        <v>124</v>
      </c>
      <c r="K6" s="277" t="s">
        <v>125</v>
      </c>
      <c r="L6" s="277" t="s">
        <v>125</v>
      </c>
      <c r="M6" s="277" t="s">
        <v>206</v>
      </c>
      <c r="N6" s="277" t="s">
        <v>207</v>
      </c>
      <c r="O6" s="277" t="s">
        <v>207</v>
      </c>
      <c r="P6" s="277" t="s">
        <v>208</v>
      </c>
      <c r="Q6" s="277" t="s">
        <v>206</v>
      </c>
      <c r="R6" s="277" t="s">
        <v>209</v>
      </c>
      <c r="S6" s="277" t="s">
        <v>206</v>
      </c>
      <c r="T6" s="277" t="s">
        <v>206</v>
      </c>
      <c r="U6" s="277" t="s">
        <v>26</v>
      </c>
      <c r="V6" s="278">
        <v>0.01</v>
      </c>
      <c r="W6" s="279" t="s">
        <v>26</v>
      </c>
      <c r="X6" s="278">
        <v>0.0</v>
      </c>
      <c r="Y6" s="279" t="s">
        <v>210</v>
      </c>
      <c r="Z6" s="95"/>
      <c r="AA6" s="95"/>
      <c r="AB6" s="280"/>
      <c r="AC6" s="280"/>
      <c r="AD6" s="280"/>
      <c r="AE6" s="280"/>
      <c r="AF6" s="280"/>
      <c r="AG6" s="280"/>
      <c r="AH6" s="280"/>
    </row>
    <row r="7" ht="15.0" hidden="1" customHeight="1">
      <c r="A7" s="281" t="s">
        <v>211</v>
      </c>
      <c r="B7" s="282">
        <f t="shared" ref="B7:B81" si="1">X7+W7+V7+U7</f>
        <v>4022.544434</v>
      </c>
      <c r="C7" s="283">
        <v>7.0</v>
      </c>
      <c r="D7" s="284">
        <v>0.0</v>
      </c>
      <c r="E7" s="284">
        <v>0.0</v>
      </c>
      <c r="F7" s="285">
        <v>1.02</v>
      </c>
      <c r="G7" s="284">
        <f t="shared" ref="G7:G81" si="2">H7*F7</f>
        <v>3060</v>
      </c>
      <c r="H7" s="286">
        <v>3000.0</v>
      </c>
      <c r="I7" s="287">
        <f t="shared" ref="I7:I81" si="3">F7+0.02</f>
        <v>1.04</v>
      </c>
      <c r="J7" s="288">
        <f t="shared" ref="J7:J81" si="4">IF(C7=8,1900,IF(C7=7,1800,IF(C7=6,1400,IF(C7=5,1200,IF(C7=4,900,IF(C7=3,800,IF(C7=2,500,400)))))))+H7/6000*50+IF(H7&gt;40000,H7/40000*400,0)</f>
        <v>1825</v>
      </c>
      <c r="K7" s="288">
        <f t="shared" ref="K7:K81" si="5">(J7+H7)*I7</f>
        <v>5018</v>
      </c>
      <c r="L7" s="288">
        <f>C7*IF(A7="BOPP 18 mic",110,160)*Y7+(E7+D7)</f>
        <v>770</v>
      </c>
      <c r="M7" s="288">
        <f t="shared" ref="M7:M81" si="6">L7*(H7+J7)*I7</f>
        <v>3863860</v>
      </c>
      <c r="N7" s="289">
        <f>C7*20/60</f>
        <v>2.333333333</v>
      </c>
      <c r="O7" s="290">
        <f t="shared" ref="O7:O81" si="7">IF(H7&gt;40000,H7/40000+H7/7500,H7/7500)</f>
        <v>0.4</v>
      </c>
      <c r="P7" s="288">
        <v>1200000.0</v>
      </c>
      <c r="Q7" s="288">
        <f t="shared" ref="Q7:Q81" si="8">P7*(O7+N7)</f>
        <v>3280000</v>
      </c>
      <c r="R7" s="288">
        <f>VLOOKUP(A7,Data2023!B$6:F$23,5,0)</f>
        <v>677.5363636</v>
      </c>
      <c r="S7" s="288">
        <f t="shared" ref="S7:S81" si="9">I7*(J7+H7)*R7</f>
        <v>3399877.473</v>
      </c>
      <c r="T7" s="291">
        <f t="shared" ref="T7:T81" si="10">S7+Q7+M7</f>
        <v>10543737.47</v>
      </c>
      <c r="U7" s="288">
        <f t="shared" ref="U7:U81" si="11">T7/G7</f>
        <v>3445.665841</v>
      </c>
      <c r="V7" s="292">
        <f t="shared" ref="V7:V81" si="12">U7*V$6</f>
        <v>34.45665841</v>
      </c>
      <c r="W7" s="293">
        <f t="shared" ref="W7:W81" si="13">IF(G7&lt;25000,500000,(G7/30000)*500000)/G7</f>
        <v>163.3986928</v>
      </c>
      <c r="X7" s="294">
        <f t="shared" ref="X7:X67" si="14">IF(C7&lt;2,U7*17%,IF(C7&lt;3,U7*16%,IF(C7&lt;4,U7*15%,IF(C7&lt;5,U7*14%,IF(C7&lt;6,U7*13%,IF(C7&lt;7,U7*12%,U7*11%))))))</f>
        <v>379.0232425</v>
      </c>
      <c r="Y7" s="295">
        <v>1.0</v>
      </c>
      <c r="Z7" s="95"/>
      <c r="AA7" s="95"/>
    </row>
    <row r="8" ht="15.0" hidden="1" customHeight="1">
      <c r="A8" s="281" t="s">
        <v>211</v>
      </c>
      <c r="B8" s="282">
        <f t="shared" si="1"/>
        <v>3172.483958</v>
      </c>
      <c r="C8" s="283">
        <v>7.0</v>
      </c>
      <c r="D8" s="284">
        <v>0.0</v>
      </c>
      <c r="E8" s="284">
        <v>0.0</v>
      </c>
      <c r="F8" s="285">
        <v>1.02</v>
      </c>
      <c r="G8" s="284">
        <f t="shared" si="2"/>
        <v>5100</v>
      </c>
      <c r="H8" s="286">
        <v>5000.0</v>
      </c>
      <c r="I8" s="287">
        <f t="shared" si="3"/>
        <v>1.04</v>
      </c>
      <c r="J8" s="288">
        <f t="shared" si="4"/>
        <v>1841.666667</v>
      </c>
      <c r="K8" s="288">
        <f t="shared" si="5"/>
        <v>7115.333333</v>
      </c>
      <c r="L8" s="288">
        <f t="shared" ref="L8:L81" si="15">C8*IF(A8="BOPP 18 mic",110,125)*Y8+(E8+D8)</f>
        <v>770</v>
      </c>
      <c r="M8" s="288">
        <f t="shared" si="6"/>
        <v>5478806.667</v>
      </c>
      <c r="N8" s="289">
        <f>H8/60000+C8*20/60</f>
        <v>2.416666667</v>
      </c>
      <c r="O8" s="290">
        <f t="shared" si="7"/>
        <v>0.6666666667</v>
      </c>
      <c r="P8" s="288">
        <v>1200000.0</v>
      </c>
      <c r="Q8" s="288">
        <f t="shared" si="8"/>
        <v>3700000</v>
      </c>
      <c r="R8" s="288">
        <f>VLOOKUP(A8,Data2023!B$6:F$23,5,0)</f>
        <v>677.5363636</v>
      </c>
      <c r="S8" s="288">
        <f t="shared" si="9"/>
        <v>4820897.073</v>
      </c>
      <c r="T8" s="291">
        <f t="shared" si="10"/>
        <v>13999703.74</v>
      </c>
      <c r="U8" s="288">
        <f t="shared" si="11"/>
        <v>2745.039949</v>
      </c>
      <c r="V8" s="292">
        <f t="shared" si="12"/>
        <v>27.45039949</v>
      </c>
      <c r="W8" s="293">
        <f t="shared" si="13"/>
        <v>98.03921569</v>
      </c>
      <c r="X8" s="294">
        <f t="shared" si="14"/>
        <v>301.9543944</v>
      </c>
      <c r="Y8" s="295">
        <v>1.0</v>
      </c>
      <c r="Z8" s="95"/>
      <c r="AA8" s="95"/>
    </row>
    <row r="9" ht="15.0" hidden="1" customHeight="1">
      <c r="A9" s="281" t="s">
        <v>211</v>
      </c>
      <c r="B9" s="282">
        <f t="shared" si="1"/>
        <v>2660.011215</v>
      </c>
      <c r="C9" s="283">
        <v>7.0</v>
      </c>
      <c r="D9" s="284">
        <v>0.0</v>
      </c>
      <c r="E9" s="284">
        <v>0.0</v>
      </c>
      <c r="F9" s="285">
        <v>1.02</v>
      </c>
      <c r="G9" s="284">
        <f t="shared" si="2"/>
        <v>8160</v>
      </c>
      <c r="H9" s="286">
        <f t="shared" ref="H9:H13" si="16">H8+3000</f>
        <v>8000</v>
      </c>
      <c r="I9" s="287">
        <f t="shared" si="3"/>
        <v>1.04</v>
      </c>
      <c r="J9" s="288">
        <f t="shared" si="4"/>
        <v>1866.666667</v>
      </c>
      <c r="K9" s="288">
        <f t="shared" si="5"/>
        <v>10261.33333</v>
      </c>
      <c r="L9" s="288">
        <f t="shared" si="15"/>
        <v>770</v>
      </c>
      <c r="M9" s="288">
        <f t="shared" si="6"/>
        <v>7901226.667</v>
      </c>
      <c r="N9" s="289">
        <f t="shared" ref="N9:N81" si="17">C9*20/60</f>
        <v>2.333333333</v>
      </c>
      <c r="O9" s="290">
        <f t="shared" si="7"/>
        <v>1.066666667</v>
      </c>
      <c r="P9" s="288">
        <v>1200000.0</v>
      </c>
      <c r="Q9" s="288">
        <f t="shared" si="8"/>
        <v>4080000</v>
      </c>
      <c r="R9" s="288">
        <f>VLOOKUP(A9,Data2023!B$6:F$23,5,0)</f>
        <v>677.5363636</v>
      </c>
      <c r="S9" s="288">
        <f t="shared" si="9"/>
        <v>6952426.473</v>
      </c>
      <c r="T9" s="291">
        <f t="shared" si="10"/>
        <v>18933653.14</v>
      </c>
      <c r="U9" s="288">
        <f t="shared" si="11"/>
        <v>2320.30063</v>
      </c>
      <c r="V9" s="292">
        <f t="shared" si="12"/>
        <v>23.2030063</v>
      </c>
      <c r="W9" s="293">
        <f t="shared" si="13"/>
        <v>61.2745098</v>
      </c>
      <c r="X9" s="294">
        <f t="shared" si="14"/>
        <v>255.2330693</v>
      </c>
      <c r="Y9" s="295">
        <v>1.0</v>
      </c>
      <c r="Z9" s="95"/>
      <c r="AA9" s="95"/>
    </row>
    <row r="10" ht="15.0" hidden="1" customHeight="1">
      <c r="A10" s="281" t="s">
        <v>211</v>
      </c>
      <c r="B10" s="282">
        <f t="shared" si="1"/>
        <v>2437.051234</v>
      </c>
      <c r="C10" s="283">
        <v>7.0</v>
      </c>
      <c r="D10" s="284">
        <v>0.0</v>
      </c>
      <c r="E10" s="284">
        <v>0.0</v>
      </c>
      <c r="F10" s="285">
        <v>1.02</v>
      </c>
      <c r="G10" s="284">
        <f t="shared" si="2"/>
        <v>11220</v>
      </c>
      <c r="H10" s="296">
        <f t="shared" si="16"/>
        <v>11000</v>
      </c>
      <c r="I10" s="287">
        <f t="shared" si="3"/>
        <v>1.04</v>
      </c>
      <c r="J10" s="288">
        <f t="shared" si="4"/>
        <v>1891.666667</v>
      </c>
      <c r="K10" s="288">
        <f t="shared" si="5"/>
        <v>13407.33333</v>
      </c>
      <c r="L10" s="288">
        <f t="shared" si="15"/>
        <v>770</v>
      </c>
      <c r="M10" s="288">
        <f t="shared" si="6"/>
        <v>10323646.67</v>
      </c>
      <c r="N10" s="289">
        <f t="shared" si="17"/>
        <v>2.333333333</v>
      </c>
      <c r="O10" s="290">
        <f t="shared" si="7"/>
        <v>1.466666667</v>
      </c>
      <c r="P10" s="288">
        <v>1200000.0</v>
      </c>
      <c r="Q10" s="288">
        <f t="shared" si="8"/>
        <v>4560000</v>
      </c>
      <c r="R10" s="288">
        <f>VLOOKUP(A10,Data2023!B$6:F$23,5,0)</f>
        <v>677.5363636</v>
      </c>
      <c r="S10" s="288">
        <f t="shared" si="9"/>
        <v>9083955.873</v>
      </c>
      <c r="T10" s="291">
        <f t="shared" si="10"/>
        <v>23967602.54</v>
      </c>
      <c r="U10" s="288">
        <f t="shared" si="11"/>
        <v>2136.149959</v>
      </c>
      <c r="V10" s="292">
        <f t="shared" si="12"/>
        <v>21.36149959</v>
      </c>
      <c r="W10" s="293">
        <f t="shared" si="13"/>
        <v>44.56327986</v>
      </c>
      <c r="X10" s="294">
        <f t="shared" si="14"/>
        <v>234.9764955</v>
      </c>
      <c r="Y10" s="295">
        <v>1.0</v>
      </c>
      <c r="Z10" s="95"/>
      <c r="AA10" s="95"/>
    </row>
    <row r="11" ht="15.0" hidden="1" customHeight="1">
      <c r="A11" s="281" t="s">
        <v>211</v>
      </c>
      <c r="B11" s="282">
        <f t="shared" si="1"/>
        <v>2309.64553</v>
      </c>
      <c r="C11" s="283">
        <v>7.0</v>
      </c>
      <c r="D11" s="284">
        <v>0.0</v>
      </c>
      <c r="E11" s="284">
        <v>0.0</v>
      </c>
      <c r="F11" s="285">
        <v>1.02</v>
      </c>
      <c r="G11" s="284">
        <f t="shared" si="2"/>
        <v>14280</v>
      </c>
      <c r="H11" s="296">
        <f t="shared" si="16"/>
        <v>14000</v>
      </c>
      <c r="I11" s="287">
        <f t="shared" si="3"/>
        <v>1.04</v>
      </c>
      <c r="J11" s="288">
        <f t="shared" si="4"/>
        <v>1916.666667</v>
      </c>
      <c r="K11" s="288">
        <f t="shared" si="5"/>
        <v>16553.33333</v>
      </c>
      <c r="L11" s="288">
        <f t="shared" si="15"/>
        <v>770</v>
      </c>
      <c r="M11" s="288">
        <f t="shared" si="6"/>
        <v>12746066.67</v>
      </c>
      <c r="N11" s="289">
        <f t="shared" si="17"/>
        <v>2.333333333</v>
      </c>
      <c r="O11" s="290">
        <f t="shared" si="7"/>
        <v>1.866666667</v>
      </c>
      <c r="P11" s="288">
        <v>1200000.0</v>
      </c>
      <c r="Q11" s="288">
        <f t="shared" si="8"/>
        <v>5040000</v>
      </c>
      <c r="R11" s="288">
        <f>VLOOKUP(A11,Data2023!B$6:F$23,5,0)</f>
        <v>677.5363636</v>
      </c>
      <c r="S11" s="288">
        <f t="shared" si="9"/>
        <v>11215485.27</v>
      </c>
      <c r="T11" s="291">
        <f t="shared" si="10"/>
        <v>29001551.94</v>
      </c>
      <c r="U11" s="288">
        <f t="shared" si="11"/>
        <v>2030.921004</v>
      </c>
      <c r="V11" s="292">
        <f t="shared" si="12"/>
        <v>20.30921004</v>
      </c>
      <c r="W11" s="293">
        <f t="shared" si="13"/>
        <v>35.0140056</v>
      </c>
      <c r="X11" s="294">
        <f t="shared" si="14"/>
        <v>223.4013105</v>
      </c>
      <c r="Y11" s="295">
        <v>1.0</v>
      </c>
      <c r="Z11" s="95"/>
      <c r="AA11" s="95"/>
    </row>
    <row r="12" ht="15.0" hidden="1" customHeight="1">
      <c r="A12" s="281" t="s">
        <v>211</v>
      </c>
      <c r="B12" s="282">
        <f t="shared" si="1"/>
        <v>2227.206546</v>
      </c>
      <c r="C12" s="283">
        <v>7.0</v>
      </c>
      <c r="D12" s="284">
        <v>0.0</v>
      </c>
      <c r="E12" s="284">
        <v>0.0</v>
      </c>
      <c r="F12" s="285">
        <v>1.02</v>
      </c>
      <c r="G12" s="284">
        <f t="shared" si="2"/>
        <v>17340</v>
      </c>
      <c r="H12" s="296">
        <f t="shared" si="16"/>
        <v>17000</v>
      </c>
      <c r="I12" s="287">
        <f t="shared" si="3"/>
        <v>1.04</v>
      </c>
      <c r="J12" s="288">
        <f t="shared" si="4"/>
        <v>1941.666667</v>
      </c>
      <c r="K12" s="288">
        <f t="shared" si="5"/>
        <v>19699.33333</v>
      </c>
      <c r="L12" s="288">
        <f t="shared" si="15"/>
        <v>770</v>
      </c>
      <c r="M12" s="288">
        <f t="shared" si="6"/>
        <v>15168486.67</v>
      </c>
      <c r="N12" s="289">
        <f t="shared" si="17"/>
        <v>2.333333333</v>
      </c>
      <c r="O12" s="290">
        <f t="shared" si="7"/>
        <v>2.266666667</v>
      </c>
      <c r="P12" s="288">
        <v>1200000.0</v>
      </c>
      <c r="Q12" s="288">
        <f t="shared" si="8"/>
        <v>5520000</v>
      </c>
      <c r="R12" s="288">
        <f>VLOOKUP(A12,Data2023!B$6:F$23,5,0)</f>
        <v>677.5363636</v>
      </c>
      <c r="S12" s="288">
        <f t="shared" si="9"/>
        <v>13347014.67</v>
      </c>
      <c r="T12" s="291">
        <f t="shared" si="10"/>
        <v>34035501.34</v>
      </c>
      <c r="U12" s="288">
        <f t="shared" si="11"/>
        <v>1962.83168</v>
      </c>
      <c r="V12" s="292">
        <f t="shared" si="12"/>
        <v>19.6283168</v>
      </c>
      <c r="W12" s="293">
        <f t="shared" si="13"/>
        <v>28.83506344</v>
      </c>
      <c r="X12" s="294">
        <f t="shared" si="14"/>
        <v>215.9114849</v>
      </c>
      <c r="Y12" s="295">
        <v>1.0</v>
      </c>
      <c r="Z12" s="95"/>
      <c r="AA12" s="95"/>
    </row>
    <row r="13" ht="15.0" hidden="1" customHeight="1">
      <c r="A13" s="281" t="s">
        <v>211</v>
      </c>
      <c r="B13" s="282">
        <f t="shared" si="1"/>
        <v>2169.499256</v>
      </c>
      <c r="C13" s="283">
        <v>7.0</v>
      </c>
      <c r="D13" s="284">
        <v>0.0</v>
      </c>
      <c r="E13" s="284">
        <v>0.0</v>
      </c>
      <c r="F13" s="285">
        <v>1.02</v>
      </c>
      <c r="G13" s="284">
        <f t="shared" si="2"/>
        <v>20400</v>
      </c>
      <c r="H13" s="297">
        <f t="shared" si="16"/>
        <v>20000</v>
      </c>
      <c r="I13" s="287">
        <f t="shared" si="3"/>
        <v>1.04</v>
      </c>
      <c r="J13" s="288">
        <f t="shared" si="4"/>
        <v>1966.666667</v>
      </c>
      <c r="K13" s="288">
        <f t="shared" si="5"/>
        <v>22845.33333</v>
      </c>
      <c r="L13" s="288">
        <f t="shared" si="15"/>
        <v>770</v>
      </c>
      <c r="M13" s="288">
        <f t="shared" si="6"/>
        <v>17590906.67</v>
      </c>
      <c r="N13" s="289">
        <f t="shared" si="17"/>
        <v>2.333333333</v>
      </c>
      <c r="O13" s="290">
        <f t="shared" si="7"/>
        <v>2.666666667</v>
      </c>
      <c r="P13" s="288">
        <v>1200000.0</v>
      </c>
      <c r="Q13" s="288">
        <f t="shared" si="8"/>
        <v>6000000</v>
      </c>
      <c r="R13" s="288">
        <f>VLOOKUP(A13,Data2023!B$6:F$23,5,0)</f>
        <v>677.5363636</v>
      </c>
      <c r="S13" s="288">
        <f t="shared" si="9"/>
        <v>15478544.07</v>
      </c>
      <c r="T13" s="291">
        <f t="shared" si="10"/>
        <v>39069450.74</v>
      </c>
      <c r="U13" s="288">
        <f t="shared" si="11"/>
        <v>1915.169154</v>
      </c>
      <c r="V13" s="292">
        <f t="shared" si="12"/>
        <v>19.15169154</v>
      </c>
      <c r="W13" s="293">
        <f t="shared" si="13"/>
        <v>24.50980392</v>
      </c>
      <c r="X13" s="294">
        <f t="shared" si="14"/>
        <v>210.6686069</v>
      </c>
      <c r="Y13" s="295">
        <v>1.0</v>
      </c>
      <c r="Z13" s="95"/>
      <c r="AA13" s="95"/>
    </row>
    <row r="14" ht="15.0" hidden="1" customHeight="1">
      <c r="A14" s="281" t="s">
        <v>211</v>
      </c>
      <c r="B14" s="282">
        <f t="shared" si="1"/>
        <v>2101.156485</v>
      </c>
      <c r="C14" s="283">
        <v>7.0</v>
      </c>
      <c r="D14" s="284">
        <v>0.0</v>
      </c>
      <c r="E14" s="284">
        <v>0.0</v>
      </c>
      <c r="F14" s="285">
        <v>1.02</v>
      </c>
      <c r="G14" s="284">
        <f t="shared" si="2"/>
        <v>25500</v>
      </c>
      <c r="H14" s="297">
        <f t="shared" ref="H14:H59" si="18">H13+5000</f>
        <v>25000</v>
      </c>
      <c r="I14" s="287">
        <f t="shared" si="3"/>
        <v>1.04</v>
      </c>
      <c r="J14" s="288">
        <f t="shared" si="4"/>
        <v>2008.333333</v>
      </c>
      <c r="K14" s="288">
        <f t="shared" si="5"/>
        <v>28088.66667</v>
      </c>
      <c r="L14" s="288">
        <f t="shared" si="15"/>
        <v>770</v>
      </c>
      <c r="M14" s="288">
        <f t="shared" si="6"/>
        <v>21628273.33</v>
      </c>
      <c r="N14" s="289">
        <f t="shared" si="17"/>
        <v>2.333333333</v>
      </c>
      <c r="O14" s="290">
        <f t="shared" si="7"/>
        <v>3.333333333</v>
      </c>
      <c r="P14" s="288">
        <v>1200000.0</v>
      </c>
      <c r="Q14" s="288">
        <f t="shared" si="8"/>
        <v>6800000</v>
      </c>
      <c r="R14" s="288">
        <f>VLOOKUP(A14,Data2023!B$6:F$23,5,0)</f>
        <v>677.5363636</v>
      </c>
      <c r="S14" s="288">
        <f t="shared" si="9"/>
        <v>19031093.07</v>
      </c>
      <c r="T14" s="291">
        <f t="shared" si="10"/>
        <v>47459366.41</v>
      </c>
      <c r="U14" s="288">
        <f t="shared" si="11"/>
        <v>1861.151624</v>
      </c>
      <c r="V14" s="292">
        <f t="shared" si="12"/>
        <v>18.61151624</v>
      </c>
      <c r="W14" s="293">
        <f t="shared" si="13"/>
        <v>16.66666667</v>
      </c>
      <c r="X14" s="294">
        <f t="shared" si="14"/>
        <v>204.7266786</v>
      </c>
      <c r="Y14" s="295">
        <v>1.0</v>
      </c>
      <c r="Z14" s="95"/>
      <c r="AA14" s="95"/>
    </row>
    <row r="15" ht="15.0" hidden="1" customHeight="1">
      <c r="A15" s="281" t="s">
        <v>211</v>
      </c>
      <c r="B15" s="282">
        <f t="shared" si="1"/>
        <v>2060.823396</v>
      </c>
      <c r="C15" s="283">
        <v>7.0</v>
      </c>
      <c r="D15" s="284">
        <v>0.0</v>
      </c>
      <c r="E15" s="284">
        <v>0.0</v>
      </c>
      <c r="F15" s="285">
        <v>1.02</v>
      </c>
      <c r="G15" s="284">
        <f t="shared" si="2"/>
        <v>30600</v>
      </c>
      <c r="H15" s="297">
        <f t="shared" si="18"/>
        <v>30000</v>
      </c>
      <c r="I15" s="287">
        <f t="shared" si="3"/>
        <v>1.04</v>
      </c>
      <c r="J15" s="288">
        <f t="shared" si="4"/>
        <v>2050</v>
      </c>
      <c r="K15" s="288">
        <f t="shared" si="5"/>
        <v>33332</v>
      </c>
      <c r="L15" s="288">
        <f t="shared" si="15"/>
        <v>770</v>
      </c>
      <c r="M15" s="288">
        <f t="shared" si="6"/>
        <v>25665640</v>
      </c>
      <c r="N15" s="289">
        <f t="shared" si="17"/>
        <v>2.333333333</v>
      </c>
      <c r="O15" s="290">
        <f t="shared" si="7"/>
        <v>4</v>
      </c>
      <c r="P15" s="288">
        <v>1200000.0</v>
      </c>
      <c r="Q15" s="288">
        <f t="shared" si="8"/>
        <v>7600000</v>
      </c>
      <c r="R15" s="288">
        <f>VLOOKUP(A15,Data2023!B$6:F$23,5,0)</f>
        <v>677.5363636</v>
      </c>
      <c r="S15" s="288">
        <f t="shared" si="9"/>
        <v>22583642.07</v>
      </c>
      <c r="T15" s="291">
        <f t="shared" si="10"/>
        <v>55849282.07</v>
      </c>
      <c r="U15" s="288">
        <f t="shared" si="11"/>
        <v>1825.139937</v>
      </c>
      <c r="V15" s="292">
        <f t="shared" si="12"/>
        <v>18.25139937</v>
      </c>
      <c r="W15" s="293">
        <f t="shared" si="13"/>
        <v>16.66666667</v>
      </c>
      <c r="X15" s="294">
        <f t="shared" si="14"/>
        <v>200.7653931</v>
      </c>
      <c r="Y15" s="295">
        <v>1.0</v>
      </c>
      <c r="Z15" s="95"/>
      <c r="AA15" s="95"/>
    </row>
    <row r="16" ht="15.0" hidden="1" customHeight="1">
      <c r="A16" s="281" t="s">
        <v>211</v>
      </c>
      <c r="B16" s="282">
        <f t="shared" si="1"/>
        <v>2032.014047</v>
      </c>
      <c r="C16" s="283">
        <v>7.0</v>
      </c>
      <c r="D16" s="284">
        <v>0.0</v>
      </c>
      <c r="E16" s="284">
        <v>0.0</v>
      </c>
      <c r="F16" s="285">
        <v>1.02</v>
      </c>
      <c r="G16" s="284">
        <f t="shared" si="2"/>
        <v>35700</v>
      </c>
      <c r="H16" s="298">
        <f t="shared" si="18"/>
        <v>35000</v>
      </c>
      <c r="I16" s="287">
        <f t="shared" si="3"/>
        <v>1.04</v>
      </c>
      <c r="J16" s="288">
        <f t="shared" si="4"/>
        <v>2091.666667</v>
      </c>
      <c r="K16" s="288">
        <f t="shared" si="5"/>
        <v>38575.33333</v>
      </c>
      <c r="L16" s="288">
        <f t="shared" si="15"/>
        <v>770</v>
      </c>
      <c r="M16" s="288">
        <f t="shared" si="6"/>
        <v>29703006.67</v>
      </c>
      <c r="N16" s="289">
        <f t="shared" si="17"/>
        <v>2.333333333</v>
      </c>
      <c r="O16" s="290">
        <f t="shared" si="7"/>
        <v>4.666666667</v>
      </c>
      <c r="P16" s="288">
        <v>1200000.0</v>
      </c>
      <c r="Q16" s="288">
        <f t="shared" si="8"/>
        <v>8400000</v>
      </c>
      <c r="R16" s="288">
        <f>VLOOKUP(A16,Data2023!B$6:F$23,5,0)</f>
        <v>677.5363636</v>
      </c>
      <c r="S16" s="288">
        <f t="shared" si="9"/>
        <v>26136191.07</v>
      </c>
      <c r="T16" s="291">
        <f t="shared" si="10"/>
        <v>64239197.74</v>
      </c>
      <c r="U16" s="288">
        <f t="shared" si="11"/>
        <v>1799.417304</v>
      </c>
      <c r="V16" s="292">
        <f t="shared" si="12"/>
        <v>17.99417304</v>
      </c>
      <c r="W16" s="293">
        <f t="shared" si="13"/>
        <v>16.66666667</v>
      </c>
      <c r="X16" s="294">
        <f t="shared" si="14"/>
        <v>197.9359034</v>
      </c>
      <c r="Y16" s="295">
        <v>1.0</v>
      </c>
      <c r="Z16" s="95"/>
      <c r="AA16" s="95"/>
    </row>
    <row r="17" ht="15.0" hidden="1" customHeight="1">
      <c r="A17" s="281" t="s">
        <v>211</v>
      </c>
      <c r="B17" s="282">
        <f t="shared" si="1"/>
        <v>2010.407035</v>
      </c>
      <c r="C17" s="283">
        <v>7.0</v>
      </c>
      <c r="D17" s="284">
        <v>0.0</v>
      </c>
      <c r="E17" s="284">
        <v>0.0</v>
      </c>
      <c r="F17" s="285">
        <v>1.02</v>
      </c>
      <c r="G17" s="284">
        <f t="shared" si="2"/>
        <v>40800</v>
      </c>
      <c r="H17" s="298">
        <f t="shared" si="18"/>
        <v>40000</v>
      </c>
      <c r="I17" s="287">
        <f t="shared" si="3"/>
        <v>1.04</v>
      </c>
      <c r="J17" s="288">
        <f t="shared" si="4"/>
        <v>2133.333333</v>
      </c>
      <c r="K17" s="288">
        <f t="shared" si="5"/>
        <v>43818.66667</v>
      </c>
      <c r="L17" s="288">
        <f t="shared" si="15"/>
        <v>770</v>
      </c>
      <c r="M17" s="288">
        <f t="shared" si="6"/>
        <v>33740373.33</v>
      </c>
      <c r="N17" s="289">
        <f t="shared" si="17"/>
        <v>2.333333333</v>
      </c>
      <c r="O17" s="290">
        <f t="shared" si="7"/>
        <v>5.333333333</v>
      </c>
      <c r="P17" s="288">
        <v>1200000.0</v>
      </c>
      <c r="Q17" s="288">
        <f t="shared" si="8"/>
        <v>9200000</v>
      </c>
      <c r="R17" s="288">
        <f>VLOOKUP(A17,Data2023!B$6:F$23,5,0)</f>
        <v>677.5363636</v>
      </c>
      <c r="S17" s="288">
        <f t="shared" si="9"/>
        <v>29688740.07</v>
      </c>
      <c r="T17" s="291">
        <f t="shared" si="10"/>
        <v>72629113.41</v>
      </c>
      <c r="U17" s="288">
        <f t="shared" si="11"/>
        <v>1780.125329</v>
      </c>
      <c r="V17" s="292">
        <f t="shared" si="12"/>
        <v>17.80125329</v>
      </c>
      <c r="W17" s="293">
        <f t="shared" si="13"/>
        <v>16.66666667</v>
      </c>
      <c r="X17" s="294">
        <f t="shared" si="14"/>
        <v>195.8137861</v>
      </c>
      <c r="Y17" s="295">
        <v>1.0</v>
      </c>
      <c r="Z17" s="95"/>
      <c r="AA17" s="95"/>
    </row>
    <row r="18" ht="15.0" hidden="1" customHeight="1">
      <c r="A18" s="281" t="s">
        <v>211</v>
      </c>
      <c r="B18" s="282">
        <f t="shared" si="1"/>
        <v>2043.073055</v>
      </c>
      <c r="C18" s="283">
        <v>7.0</v>
      </c>
      <c r="D18" s="284">
        <v>0.0</v>
      </c>
      <c r="E18" s="284">
        <v>0.0</v>
      </c>
      <c r="F18" s="285">
        <v>1.02</v>
      </c>
      <c r="G18" s="284">
        <f t="shared" si="2"/>
        <v>45900</v>
      </c>
      <c r="H18" s="298">
        <f t="shared" si="18"/>
        <v>45000</v>
      </c>
      <c r="I18" s="287">
        <f t="shared" si="3"/>
        <v>1.04</v>
      </c>
      <c r="J18" s="288">
        <f t="shared" si="4"/>
        <v>2625</v>
      </c>
      <c r="K18" s="288">
        <f t="shared" si="5"/>
        <v>49530</v>
      </c>
      <c r="L18" s="288">
        <f t="shared" si="15"/>
        <v>770</v>
      </c>
      <c r="M18" s="288">
        <f t="shared" si="6"/>
        <v>38138100</v>
      </c>
      <c r="N18" s="289">
        <f t="shared" si="17"/>
        <v>2.333333333</v>
      </c>
      <c r="O18" s="290">
        <f t="shared" si="7"/>
        <v>7.125</v>
      </c>
      <c r="P18" s="288">
        <v>1200000.0</v>
      </c>
      <c r="Q18" s="288">
        <f t="shared" si="8"/>
        <v>11350000</v>
      </c>
      <c r="R18" s="288">
        <f>VLOOKUP(A18,Data2023!B$6:F$23,5,0)</f>
        <v>677.5363636</v>
      </c>
      <c r="S18" s="288">
        <f t="shared" si="9"/>
        <v>33558376.09</v>
      </c>
      <c r="T18" s="291">
        <f t="shared" si="10"/>
        <v>83046476.09</v>
      </c>
      <c r="U18" s="288">
        <f t="shared" si="11"/>
        <v>1809.291418</v>
      </c>
      <c r="V18" s="292">
        <f t="shared" si="12"/>
        <v>18.09291418</v>
      </c>
      <c r="W18" s="293">
        <f t="shared" si="13"/>
        <v>16.66666667</v>
      </c>
      <c r="X18" s="294">
        <f t="shared" si="14"/>
        <v>199.022056</v>
      </c>
      <c r="Y18" s="295">
        <v>1.0</v>
      </c>
      <c r="Z18" s="95"/>
      <c r="AA18" s="95"/>
    </row>
    <row r="19" ht="15.0" hidden="1" customHeight="1">
      <c r="A19" s="281" t="s">
        <v>211</v>
      </c>
      <c r="B19" s="282">
        <f t="shared" si="1"/>
        <v>2029.628692</v>
      </c>
      <c r="C19" s="283">
        <v>7.0</v>
      </c>
      <c r="D19" s="284">
        <v>0.0</v>
      </c>
      <c r="E19" s="284">
        <v>0.0</v>
      </c>
      <c r="F19" s="285">
        <v>1.02</v>
      </c>
      <c r="G19" s="284">
        <f t="shared" si="2"/>
        <v>51000</v>
      </c>
      <c r="H19" s="299">
        <f t="shared" si="18"/>
        <v>50000</v>
      </c>
      <c r="I19" s="287">
        <f t="shared" si="3"/>
        <v>1.04</v>
      </c>
      <c r="J19" s="288">
        <f t="shared" si="4"/>
        <v>2716.666667</v>
      </c>
      <c r="K19" s="288">
        <f t="shared" si="5"/>
        <v>54825.33333</v>
      </c>
      <c r="L19" s="288">
        <f t="shared" si="15"/>
        <v>770</v>
      </c>
      <c r="M19" s="288">
        <f t="shared" si="6"/>
        <v>42215506.67</v>
      </c>
      <c r="N19" s="289">
        <f t="shared" si="17"/>
        <v>2.333333333</v>
      </c>
      <c r="O19" s="290">
        <f t="shared" si="7"/>
        <v>7.916666667</v>
      </c>
      <c r="P19" s="288">
        <v>1200000.0</v>
      </c>
      <c r="Q19" s="288">
        <f t="shared" si="8"/>
        <v>12300000</v>
      </c>
      <c r="R19" s="288">
        <f>VLOOKUP(A19,Data2023!B$6:F$23,5,0)</f>
        <v>677.5363636</v>
      </c>
      <c r="S19" s="288">
        <f t="shared" si="9"/>
        <v>37146156.98</v>
      </c>
      <c r="T19" s="291">
        <f t="shared" si="10"/>
        <v>91661663.65</v>
      </c>
      <c r="U19" s="288">
        <f t="shared" si="11"/>
        <v>1797.287523</v>
      </c>
      <c r="V19" s="292">
        <f t="shared" si="12"/>
        <v>17.97287523</v>
      </c>
      <c r="W19" s="293">
        <f t="shared" si="13"/>
        <v>16.66666667</v>
      </c>
      <c r="X19" s="294">
        <f t="shared" si="14"/>
        <v>197.7016275</v>
      </c>
      <c r="Y19" s="295">
        <v>1.0</v>
      </c>
      <c r="Z19" s="95"/>
      <c r="AA19" s="95"/>
    </row>
    <row r="20" ht="15.0" hidden="1" customHeight="1">
      <c r="A20" s="281" t="s">
        <v>211</v>
      </c>
      <c r="B20" s="282">
        <f t="shared" si="1"/>
        <v>2018.628758</v>
      </c>
      <c r="C20" s="283">
        <v>7.0</v>
      </c>
      <c r="D20" s="284">
        <v>0.0</v>
      </c>
      <c r="E20" s="284">
        <v>0.0</v>
      </c>
      <c r="F20" s="285">
        <v>1.02</v>
      </c>
      <c r="G20" s="284">
        <f t="shared" si="2"/>
        <v>56100</v>
      </c>
      <c r="H20" s="299">
        <f t="shared" si="18"/>
        <v>55000</v>
      </c>
      <c r="I20" s="287">
        <f t="shared" si="3"/>
        <v>1.04</v>
      </c>
      <c r="J20" s="288">
        <f t="shared" si="4"/>
        <v>2808.333333</v>
      </c>
      <c r="K20" s="288">
        <f t="shared" si="5"/>
        <v>60120.66667</v>
      </c>
      <c r="L20" s="288">
        <f t="shared" si="15"/>
        <v>770</v>
      </c>
      <c r="M20" s="288">
        <f t="shared" si="6"/>
        <v>46292913.33</v>
      </c>
      <c r="N20" s="289">
        <f t="shared" si="17"/>
        <v>2.333333333</v>
      </c>
      <c r="O20" s="290">
        <f t="shared" si="7"/>
        <v>8.708333333</v>
      </c>
      <c r="P20" s="288">
        <v>1200000.0</v>
      </c>
      <c r="Q20" s="288">
        <f t="shared" si="8"/>
        <v>13250000</v>
      </c>
      <c r="R20" s="288">
        <f>VLOOKUP(A20,Data2023!B$6:F$23,5,0)</f>
        <v>677.5363636</v>
      </c>
      <c r="S20" s="288">
        <f t="shared" si="9"/>
        <v>40733937.87</v>
      </c>
      <c r="T20" s="291">
        <f t="shared" si="10"/>
        <v>100276851.2</v>
      </c>
      <c r="U20" s="288">
        <f t="shared" si="11"/>
        <v>1787.466153</v>
      </c>
      <c r="V20" s="292">
        <f t="shared" si="12"/>
        <v>17.87466153</v>
      </c>
      <c r="W20" s="293">
        <f t="shared" si="13"/>
        <v>16.66666667</v>
      </c>
      <c r="X20" s="294">
        <f t="shared" si="14"/>
        <v>196.6212769</v>
      </c>
      <c r="Y20" s="295">
        <v>1.0</v>
      </c>
      <c r="Z20" s="95"/>
      <c r="AA20" s="95"/>
    </row>
    <row r="21" ht="15.0" hidden="1" customHeight="1">
      <c r="A21" s="281" t="s">
        <v>211</v>
      </c>
      <c r="B21" s="282">
        <f t="shared" si="1"/>
        <v>2009.462147</v>
      </c>
      <c r="C21" s="283">
        <v>7.0</v>
      </c>
      <c r="D21" s="284">
        <v>0.0</v>
      </c>
      <c r="E21" s="284">
        <v>0.0</v>
      </c>
      <c r="F21" s="285">
        <v>1.02</v>
      </c>
      <c r="G21" s="284">
        <f t="shared" si="2"/>
        <v>61200</v>
      </c>
      <c r="H21" s="299">
        <f t="shared" si="18"/>
        <v>60000</v>
      </c>
      <c r="I21" s="287">
        <f t="shared" si="3"/>
        <v>1.04</v>
      </c>
      <c r="J21" s="288">
        <f t="shared" si="4"/>
        <v>2900</v>
      </c>
      <c r="K21" s="288">
        <f t="shared" si="5"/>
        <v>65416</v>
      </c>
      <c r="L21" s="288">
        <f t="shared" si="15"/>
        <v>770</v>
      </c>
      <c r="M21" s="288">
        <f t="shared" si="6"/>
        <v>50370320</v>
      </c>
      <c r="N21" s="289">
        <f t="shared" si="17"/>
        <v>2.333333333</v>
      </c>
      <c r="O21" s="290">
        <f t="shared" si="7"/>
        <v>9.5</v>
      </c>
      <c r="P21" s="288">
        <v>1200000.0</v>
      </c>
      <c r="Q21" s="288">
        <f t="shared" si="8"/>
        <v>14200000</v>
      </c>
      <c r="R21" s="288">
        <f>VLOOKUP(A21,Data2023!B$6:F$23,5,0)</f>
        <v>677.5363636</v>
      </c>
      <c r="S21" s="288">
        <f t="shared" si="9"/>
        <v>44321718.76</v>
      </c>
      <c r="T21" s="291">
        <f t="shared" si="10"/>
        <v>108892038.8</v>
      </c>
      <c r="U21" s="288">
        <f t="shared" si="11"/>
        <v>1779.281679</v>
      </c>
      <c r="V21" s="292">
        <f t="shared" si="12"/>
        <v>17.79281679</v>
      </c>
      <c r="W21" s="293">
        <f t="shared" si="13"/>
        <v>16.66666667</v>
      </c>
      <c r="X21" s="294">
        <f t="shared" si="14"/>
        <v>195.7209847</v>
      </c>
      <c r="Y21" s="295">
        <v>1.0</v>
      </c>
      <c r="Z21" s="95"/>
      <c r="AA21" s="95"/>
    </row>
    <row r="22" ht="15.0" hidden="1" customHeight="1">
      <c r="A22" s="281" t="s">
        <v>211</v>
      </c>
      <c r="B22" s="282">
        <f t="shared" si="1"/>
        <v>2001.705784</v>
      </c>
      <c r="C22" s="283">
        <v>7.0</v>
      </c>
      <c r="D22" s="284">
        <v>0.0</v>
      </c>
      <c r="E22" s="284">
        <v>0.0</v>
      </c>
      <c r="F22" s="285">
        <v>1.02</v>
      </c>
      <c r="G22" s="284">
        <f t="shared" si="2"/>
        <v>66300</v>
      </c>
      <c r="H22" s="300">
        <f t="shared" si="18"/>
        <v>65000</v>
      </c>
      <c r="I22" s="287">
        <f t="shared" si="3"/>
        <v>1.04</v>
      </c>
      <c r="J22" s="288">
        <f t="shared" si="4"/>
        <v>2991.666667</v>
      </c>
      <c r="K22" s="288">
        <f t="shared" si="5"/>
        <v>70711.33333</v>
      </c>
      <c r="L22" s="288">
        <f t="shared" si="15"/>
        <v>770</v>
      </c>
      <c r="M22" s="288">
        <f t="shared" si="6"/>
        <v>54447726.67</v>
      </c>
      <c r="N22" s="289">
        <f t="shared" si="17"/>
        <v>2.333333333</v>
      </c>
      <c r="O22" s="290">
        <f t="shared" si="7"/>
        <v>10.29166667</v>
      </c>
      <c r="P22" s="288">
        <v>1200000.0</v>
      </c>
      <c r="Q22" s="288">
        <f t="shared" si="8"/>
        <v>15150000</v>
      </c>
      <c r="R22" s="288">
        <f>VLOOKUP(A22,Data2023!B$6:F$23,5,0)</f>
        <v>677.5363636</v>
      </c>
      <c r="S22" s="288">
        <f t="shared" si="9"/>
        <v>47909499.65</v>
      </c>
      <c r="T22" s="291">
        <f t="shared" si="10"/>
        <v>117507226.3</v>
      </c>
      <c r="U22" s="288">
        <f t="shared" si="11"/>
        <v>1772.356355</v>
      </c>
      <c r="V22" s="292">
        <f t="shared" si="12"/>
        <v>17.72356355</v>
      </c>
      <c r="W22" s="293">
        <f t="shared" si="13"/>
        <v>16.66666667</v>
      </c>
      <c r="X22" s="294">
        <f t="shared" si="14"/>
        <v>194.959199</v>
      </c>
      <c r="Y22" s="295">
        <v>1.0</v>
      </c>
      <c r="Z22" s="95"/>
      <c r="AA22" s="95"/>
    </row>
    <row r="23" ht="15.0" hidden="1" customHeight="1">
      <c r="A23" s="281" t="s">
        <v>211</v>
      </c>
      <c r="B23" s="282">
        <f t="shared" si="1"/>
        <v>1995.057473</v>
      </c>
      <c r="C23" s="283">
        <v>7.0</v>
      </c>
      <c r="D23" s="284">
        <v>0.0</v>
      </c>
      <c r="E23" s="284">
        <v>0.0</v>
      </c>
      <c r="F23" s="285">
        <v>1.02</v>
      </c>
      <c r="G23" s="284">
        <f t="shared" si="2"/>
        <v>71400</v>
      </c>
      <c r="H23" s="300">
        <f t="shared" si="18"/>
        <v>70000</v>
      </c>
      <c r="I23" s="287">
        <f t="shared" si="3"/>
        <v>1.04</v>
      </c>
      <c r="J23" s="288">
        <f t="shared" si="4"/>
        <v>3083.333333</v>
      </c>
      <c r="K23" s="288">
        <f t="shared" si="5"/>
        <v>76006.66667</v>
      </c>
      <c r="L23" s="288">
        <f t="shared" si="15"/>
        <v>770</v>
      </c>
      <c r="M23" s="288">
        <f t="shared" si="6"/>
        <v>58525133.33</v>
      </c>
      <c r="N23" s="289">
        <f t="shared" si="17"/>
        <v>2.333333333</v>
      </c>
      <c r="O23" s="290">
        <f t="shared" si="7"/>
        <v>11.08333333</v>
      </c>
      <c r="P23" s="288">
        <v>1200000.0</v>
      </c>
      <c r="Q23" s="288">
        <f t="shared" si="8"/>
        <v>16100000</v>
      </c>
      <c r="R23" s="288">
        <f>VLOOKUP(A23,Data2023!B$6:F$23,5,0)</f>
        <v>677.5363636</v>
      </c>
      <c r="S23" s="288">
        <f t="shared" si="9"/>
        <v>51497280.55</v>
      </c>
      <c r="T23" s="291">
        <f t="shared" si="10"/>
        <v>126122413.9</v>
      </c>
      <c r="U23" s="288">
        <f t="shared" si="11"/>
        <v>1766.420362</v>
      </c>
      <c r="V23" s="292">
        <f t="shared" si="12"/>
        <v>17.66420362</v>
      </c>
      <c r="W23" s="293">
        <f t="shared" si="13"/>
        <v>16.66666667</v>
      </c>
      <c r="X23" s="294">
        <f t="shared" si="14"/>
        <v>194.3062399</v>
      </c>
      <c r="Y23" s="295">
        <v>1.0</v>
      </c>
      <c r="Z23" s="95"/>
      <c r="AA23" s="95"/>
    </row>
    <row r="24" ht="15.0" hidden="1" customHeight="1">
      <c r="A24" s="281" t="s">
        <v>211</v>
      </c>
      <c r="B24" s="282">
        <f t="shared" si="1"/>
        <v>1989.295603</v>
      </c>
      <c r="C24" s="283">
        <v>7.0</v>
      </c>
      <c r="D24" s="284">
        <v>0.0</v>
      </c>
      <c r="E24" s="284">
        <v>0.0</v>
      </c>
      <c r="F24" s="285">
        <v>1.02</v>
      </c>
      <c r="G24" s="284">
        <f t="shared" si="2"/>
        <v>76500</v>
      </c>
      <c r="H24" s="300">
        <f t="shared" si="18"/>
        <v>75000</v>
      </c>
      <c r="I24" s="287">
        <f t="shared" si="3"/>
        <v>1.04</v>
      </c>
      <c r="J24" s="288">
        <f t="shared" si="4"/>
        <v>3175</v>
      </c>
      <c r="K24" s="288">
        <f t="shared" si="5"/>
        <v>81302</v>
      </c>
      <c r="L24" s="288">
        <f t="shared" si="15"/>
        <v>770</v>
      </c>
      <c r="M24" s="288">
        <f t="shared" si="6"/>
        <v>62602540</v>
      </c>
      <c r="N24" s="289">
        <f t="shared" si="17"/>
        <v>2.333333333</v>
      </c>
      <c r="O24" s="290">
        <f t="shared" si="7"/>
        <v>11.875</v>
      </c>
      <c r="P24" s="288">
        <v>1200000.0</v>
      </c>
      <c r="Q24" s="288">
        <f t="shared" si="8"/>
        <v>17050000</v>
      </c>
      <c r="R24" s="288">
        <f>VLOOKUP(A24,Data2023!B$6:F$23,5,0)</f>
        <v>677.5363636</v>
      </c>
      <c r="S24" s="288">
        <f t="shared" si="9"/>
        <v>55085061.44</v>
      </c>
      <c r="T24" s="291">
        <f t="shared" si="10"/>
        <v>134737601.4</v>
      </c>
      <c r="U24" s="288">
        <f t="shared" si="11"/>
        <v>1761.275836</v>
      </c>
      <c r="V24" s="292">
        <f t="shared" si="12"/>
        <v>17.61275836</v>
      </c>
      <c r="W24" s="293">
        <f t="shared" si="13"/>
        <v>16.66666667</v>
      </c>
      <c r="X24" s="294">
        <f t="shared" si="14"/>
        <v>193.7403419</v>
      </c>
      <c r="Y24" s="295">
        <v>1.0</v>
      </c>
      <c r="Z24" s="95"/>
      <c r="AA24" s="95"/>
    </row>
    <row r="25" ht="15.0" hidden="1" customHeight="1">
      <c r="A25" s="281" t="s">
        <v>211</v>
      </c>
      <c r="B25" s="282">
        <f t="shared" si="1"/>
        <v>1984.253967</v>
      </c>
      <c r="C25" s="283">
        <v>7.0</v>
      </c>
      <c r="D25" s="284">
        <v>0.0</v>
      </c>
      <c r="E25" s="284">
        <v>0.0</v>
      </c>
      <c r="F25" s="285">
        <v>1.02</v>
      </c>
      <c r="G25" s="284">
        <f t="shared" si="2"/>
        <v>81600</v>
      </c>
      <c r="H25" s="301">
        <f t="shared" si="18"/>
        <v>80000</v>
      </c>
      <c r="I25" s="287">
        <f t="shared" si="3"/>
        <v>1.04</v>
      </c>
      <c r="J25" s="288">
        <f t="shared" si="4"/>
        <v>3266.666667</v>
      </c>
      <c r="K25" s="288">
        <f t="shared" si="5"/>
        <v>86597.33333</v>
      </c>
      <c r="L25" s="288">
        <f t="shared" si="15"/>
        <v>770</v>
      </c>
      <c r="M25" s="288">
        <f t="shared" si="6"/>
        <v>66679946.67</v>
      </c>
      <c r="N25" s="289">
        <f t="shared" si="17"/>
        <v>2.333333333</v>
      </c>
      <c r="O25" s="290">
        <f t="shared" si="7"/>
        <v>12.66666667</v>
      </c>
      <c r="P25" s="288">
        <v>1200000.0</v>
      </c>
      <c r="Q25" s="288">
        <f t="shared" si="8"/>
        <v>18000000</v>
      </c>
      <c r="R25" s="288">
        <f>VLOOKUP(A25,Data2023!B$6:F$23,5,0)</f>
        <v>677.5363636</v>
      </c>
      <c r="S25" s="288">
        <f t="shared" si="9"/>
        <v>58672842.33</v>
      </c>
      <c r="T25" s="291">
        <f t="shared" si="10"/>
        <v>143352789</v>
      </c>
      <c r="U25" s="288">
        <f t="shared" si="11"/>
        <v>1756.774375</v>
      </c>
      <c r="V25" s="292">
        <f t="shared" si="12"/>
        <v>17.56774375</v>
      </c>
      <c r="W25" s="293">
        <f t="shared" si="13"/>
        <v>16.66666667</v>
      </c>
      <c r="X25" s="294">
        <f t="shared" si="14"/>
        <v>193.2451812</v>
      </c>
      <c r="Y25" s="295">
        <v>1.0</v>
      </c>
      <c r="Z25" s="95"/>
      <c r="AA25" s="95"/>
    </row>
    <row r="26" ht="15.0" hidden="1" customHeight="1">
      <c r="A26" s="281" t="s">
        <v>211</v>
      </c>
      <c r="B26" s="282">
        <f t="shared" si="1"/>
        <v>1979.805464</v>
      </c>
      <c r="C26" s="283">
        <v>7.0</v>
      </c>
      <c r="D26" s="284">
        <v>0.0</v>
      </c>
      <c r="E26" s="284">
        <v>0.0</v>
      </c>
      <c r="F26" s="285">
        <v>1.02</v>
      </c>
      <c r="G26" s="284">
        <f t="shared" si="2"/>
        <v>86700</v>
      </c>
      <c r="H26" s="301">
        <f t="shared" si="18"/>
        <v>85000</v>
      </c>
      <c r="I26" s="287">
        <f t="shared" si="3"/>
        <v>1.04</v>
      </c>
      <c r="J26" s="288">
        <f t="shared" si="4"/>
        <v>3358.333333</v>
      </c>
      <c r="K26" s="288">
        <f t="shared" si="5"/>
        <v>91892.66667</v>
      </c>
      <c r="L26" s="288">
        <f t="shared" si="15"/>
        <v>770</v>
      </c>
      <c r="M26" s="288">
        <f t="shared" si="6"/>
        <v>70757353.33</v>
      </c>
      <c r="N26" s="289">
        <f t="shared" si="17"/>
        <v>2.333333333</v>
      </c>
      <c r="O26" s="290">
        <f t="shared" si="7"/>
        <v>13.45833333</v>
      </c>
      <c r="P26" s="288">
        <v>1200000.0</v>
      </c>
      <c r="Q26" s="288">
        <f t="shared" si="8"/>
        <v>18950000</v>
      </c>
      <c r="R26" s="288">
        <f>VLOOKUP(A26,Data2023!B$6:F$23,5,0)</f>
        <v>677.5363636</v>
      </c>
      <c r="S26" s="288">
        <f t="shared" si="9"/>
        <v>62260623.22</v>
      </c>
      <c r="T26" s="291">
        <f t="shared" si="10"/>
        <v>151967976.6</v>
      </c>
      <c r="U26" s="288">
        <f t="shared" si="11"/>
        <v>1752.802498</v>
      </c>
      <c r="V26" s="292">
        <f t="shared" si="12"/>
        <v>17.52802498</v>
      </c>
      <c r="W26" s="293">
        <f t="shared" si="13"/>
        <v>16.66666667</v>
      </c>
      <c r="X26" s="294">
        <f t="shared" si="14"/>
        <v>192.8082747</v>
      </c>
      <c r="Y26" s="295">
        <v>1.0</v>
      </c>
      <c r="Z26" s="95"/>
      <c r="AA26" s="95"/>
    </row>
    <row r="27" ht="15.0" hidden="1" customHeight="1">
      <c r="A27" s="281" t="s">
        <v>211</v>
      </c>
      <c r="B27" s="282">
        <f t="shared" si="1"/>
        <v>1975.85124</v>
      </c>
      <c r="C27" s="283">
        <v>7.0</v>
      </c>
      <c r="D27" s="284">
        <v>0.0</v>
      </c>
      <c r="E27" s="284">
        <v>0.0</v>
      </c>
      <c r="F27" s="285">
        <v>1.02</v>
      </c>
      <c r="G27" s="284">
        <f t="shared" si="2"/>
        <v>91800</v>
      </c>
      <c r="H27" s="301">
        <f t="shared" si="18"/>
        <v>90000</v>
      </c>
      <c r="I27" s="287">
        <f t="shared" si="3"/>
        <v>1.04</v>
      </c>
      <c r="J27" s="288">
        <f t="shared" si="4"/>
        <v>3450</v>
      </c>
      <c r="K27" s="288">
        <f t="shared" si="5"/>
        <v>97188</v>
      </c>
      <c r="L27" s="288">
        <f t="shared" si="15"/>
        <v>770</v>
      </c>
      <c r="M27" s="288">
        <f t="shared" si="6"/>
        <v>74834760</v>
      </c>
      <c r="N27" s="289">
        <f t="shared" si="17"/>
        <v>2.333333333</v>
      </c>
      <c r="O27" s="290">
        <f t="shared" si="7"/>
        <v>14.25</v>
      </c>
      <c r="P27" s="288">
        <v>1200000.0</v>
      </c>
      <c r="Q27" s="288">
        <f t="shared" si="8"/>
        <v>19900000</v>
      </c>
      <c r="R27" s="288">
        <f>VLOOKUP(A27,Data2023!B$6:F$23,5,0)</f>
        <v>677.5363636</v>
      </c>
      <c r="S27" s="288">
        <f t="shared" si="9"/>
        <v>65848404.11</v>
      </c>
      <c r="T27" s="291">
        <f t="shared" si="10"/>
        <v>160583164.1</v>
      </c>
      <c r="U27" s="288">
        <f t="shared" si="11"/>
        <v>1749.27194</v>
      </c>
      <c r="V27" s="292">
        <f t="shared" si="12"/>
        <v>17.4927194</v>
      </c>
      <c r="W27" s="293">
        <f t="shared" si="13"/>
        <v>16.66666667</v>
      </c>
      <c r="X27" s="294">
        <f t="shared" si="14"/>
        <v>192.4199134</v>
      </c>
      <c r="Y27" s="295">
        <v>1.0</v>
      </c>
      <c r="Z27" s="95"/>
      <c r="AA27" s="95"/>
    </row>
    <row r="28" ht="15.0" hidden="1" customHeight="1">
      <c r="A28" s="281" t="s">
        <v>211</v>
      </c>
      <c r="B28" s="282">
        <f t="shared" si="1"/>
        <v>1972.313249</v>
      </c>
      <c r="C28" s="283">
        <v>7.0</v>
      </c>
      <c r="D28" s="284">
        <v>0.0</v>
      </c>
      <c r="E28" s="284">
        <v>0.0</v>
      </c>
      <c r="F28" s="285">
        <v>1.02</v>
      </c>
      <c r="G28" s="284">
        <f t="shared" si="2"/>
        <v>96900</v>
      </c>
      <c r="H28" s="302">
        <f t="shared" si="18"/>
        <v>95000</v>
      </c>
      <c r="I28" s="287">
        <f t="shared" si="3"/>
        <v>1.04</v>
      </c>
      <c r="J28" s="288">
        <f t="shared" si="4"/>
        <v>3541.666667</v>
      </c>
      <c r="K28" s="288">
        <f t="shared" si="5"/>
        <v>102483.3333</v>
      </c>
      <c r="L28" s="288">
        <f t="shared" si="15"/>
        <v>770</v>
      </c>
      <c r="M28" s="288">
        <f t="shared" si="6"/>
        <v>78912166.67</v>
      </c>
      <c r="N28" s="289">
        <f t="shared" si="17"/>
        <v>2.333333333</v>
      </c>
      <c r="O28" s="290">
        <f t="shared" si="7"/>
        <v>15.04166667</v>
      </c>
      <c r="P28" s="288">
        <v>1200000.0</v>
      </c>
      <c r="Q28" s="288">
        <f t="shared" si="8"/>
        <v>20850000</v>
      </c>
      <c r="R28" s="288">
        <f>VLOOKUP(A28,Data2023!B$6:F$23,5,0)</f>
        <v>677.5363636</v>
      </c>
      <c r="S28" s="288">
        <f t="shared" si="9"/>
        <v>69436185</v>
      </c>
      <c r="T28" s="291">
        <f t="shared" si="10"/>
        <v>169198351.7</v>
      </c>
      <c r="U28" s="288">
        <f t="shared" si="11"/>
        <v>1746.11302</v>
      </c>
      <c r="V28" s="292">
        <f t="shared" si="12"/>
        <v>17.4611302</v>
      </c>
      <c r="W28" s="293">
        <f t="shared" si="13"/>
        <v>16.66666667</v>
      </c>
      <c r="X28" s="294">
        <f t="shared" si="14"/>
        <v>192.0724322</v>
      </c>
      <c r="Y28" s="295">
        <v>1.0</v>
      </c>
      <c r="Z28" s="95"/>
      <c r="AA28" s="95"/>
    </row>
    <row r="29" ht="15.0" hidden="1" customHeight="1">
      <c r="A29" s="281" t="s">
        <v>211</v>
      </c>
      <c r="B29" s="282">
        <f t="shared" si="1"/>
        <v>1969.129058</v>
      </c>
      <c r="C29" s="283">
        <v>7.0</v>
      </c>
      <c r="D29" s="284">
        <v>0.0</v>
      </c>
      <c r="E29" s="284">
        <v>0.0</v>
      </c>
      <c r="F29" s="285">
        <v>1.02</v>
      </c>
      <c r="G29" s="284">
        <f t="shared" si="2"/>
        <v>102000</v>
      </c>
      <c r="H29" s="302">
        <f t="shared" si="18"/>
        <v>100000</v>
      </c>
      <c r="I29" s="287">
        <f t="shared" si="3"/>
        <v>1.04</v>
      </c>
      <c r="J29" s="288">
        <f t="shared" si="4"/>
        <v>3633.333333</v>
      </c>
      <c r="K29" s="288">
        <f t="shared" si="5"/>
        <v>107778.6667</v>
      </c>
      <c r="L29" s="288">
        <f t="shared" si="15"/>
        <v>770</v>
      </c>
      <c r="M29" s="288">
        <f t="shared" si="6"/>
        <v>82989573.33</v>
      </c>
      <c r="N29" s="289">
        <f t="shared" si="17"/>
        <v>2.333333333</v>
      </c>
      <c r="O29" s="290">
        <f t="shared" si="7"/>
        <v>15.83333333</v>
      </c>
      <c r="P29" s="288">
        <v>1200000.0</v>
      </c>
      <c r="Q29" s="288">
        <f t="shared" si="8"/>
        <v>21800000</v>
      </c>
      <c r="R29" s="288">
        <f>VLOOKUP(A29,Data2023!B$6:F$23,5,0)</f>
        <v>677.5363636</v>
      </c>
      <c r="S29" s="288">
        <f t="shared" si="9"/>
        <v>73023965.89</v>
      </c>
      <c r="T29" s="291">
        <f t="shared" si="10"/>
        <v>177813539.2</v>
      </c>
      <c r="U29" s="288">
        <f t="shared" si="11"/>
        <v>1743.269992</v>
      </c>
      <c r="V29" s="292">
        <f t="shared" si="12"/>
        <v>17.43269992</v>
      </c>
      <c r="W29" s="293">
        <f t="shared" si="13"/>
        <v>16.66666667</v>
      </c>
      <c r="X29" s="294">
        <f t="shared" si="14"/>
        <v>191.7596992</v>
      </c>
      <c r="Y29" s="295">
        <v>1.0</v>
      </c>
      <c r="Z29" s="95"/>
      <c r="AA29" s="95"/>
    </row>
    <row r="30" ht="15.0" hidden="1" customHeight="1">
      <c r="A30" s="281" t="s">
        <v>211</v>
      </c>
      <c r="B30" s="282">
        <f t="shared" si="1"/>
        <v>1966.248123</v>
      </c>
      <c r="C30" s="283">
        <v>7.0</v>
      </c>
      <c r="D30" s="284">
        <v>0.0</v>
      </c>
      <c r="E30" s="284">
        <v>0.0</v>
      </c>
      <c r="F30" s="285">
        <v>1.02</v>
      </c>
      <c r="G30" s="284">
        <f t="shared" si="2"/>
        <v>107100</v>
      </c>
      <c r="H30" s="302">
        <f t="shared" si="18"/>
        <v>105000</v>
      </c>
      <c r="I30" s="287">
        <f t="shared" si="3"/>
        <v>1.04</v>
      </c>
      <c r="J30" s="288">
        <f t="shared" si="4"/>
        <v>3725</v>
      </c>
      <c r="K30" s="288">
        <f t="shared" si="5"/>
        <v>113074</v>
      </c>
      <c r="L30" s="288">
        <f t="shared" si="15"/>
        <v>770</v>
      </c>
      <c r="M30" s="288">
        <f t="shared" si="6"/>
        <v>87066980</v>
      </c>
      <c r="N30" s="289">
        <f t="shared" si="17"/>
        <v>2.333333333</v>
      </c>
      <c r="O30" s="290">
        <f t="shared" si="7"/>
        <v>16.625</v>
      </c>
      <c r="P30" s="288">
        <v>1200000.0</v>
      </c>
      <c r="Q30" s="288">
        <f t="shared" si="8"/>
        <v>22750000</v>
      </c>
      <c r="R30" s="288">
        <f>VLOOKUP(A30,Data2023!B$6:F$23,5,0)</f>
        <v>677.5363636</v>
      </c>
      <c r="S30" s="288">
        <f t="shared" si="9"/>
        <v>76611746.78</v>
      </c>
      <c r="T30" s="291">
        <f t="shared" si="10"/>
        <v>186428726.8</v>
      </c>
      <c r="U30" s="288">
        <f t="shared" si="11"/>
        <v>1740.697729</v>
      </c>
      <c r="V30" s="292">
        <f t="shared" si="12"/>
        <v>17.40697729</v>
      </c>
      <c r="W30" s="293">
        <f t="shared" si="13"/>
        <v>16.66666667</v>
      </c>
      <c r="X30" s="294">
        <f t="shared" si="14"/>
        <v>191.4767502</v>
      </c>
      <c r="Y30" s="295">
        <v>1.0</v>
      </c>
    </row>
    <row r="31" ht="15.0" hidden="1" customHeight="1">
      <c r="A31" s="281" t="s">
        <v>211</v>
      </c>
      <c r="B31" s="282">
        <f t="shared" si="1"/>
        <v>1963.629091</v>
      </c>
      <c r="C31" s="283">
        <v>7.0</v>
      </c>
      <c r="D31" s="284">
        <v>0.0</v>
      </c>
      <c r="E31" s="284">
        <v>0.0</v>
      </c>
      <c r="F31" s="285">
        <v>1.02</v>
      </c>
      <c r="G31" s="284">
        <f t="shared" si="2"/>
        <v>112200</v>
      </c>
      <c r="H31" s="302">
        <f t="shared" si="18"/>
        <v>110000</v>
      </c>
      <c r="I31" s="287">
        <f t="shared" si="3"/>
        <v>1.04</v>
      </c>
      <c r="J31" s="288">
        <f t="shared" si="4"/>
        <v>3816.666667</v>
      </c>
      <c r="K31" s="288">
        <f t="shared" si="5"/>
        <v>118369.3333</v>
      </c>
      <c r="L31" s="288">
        <f t="shared" si="15"/>
        <v>770</v>
      </c>
      <c r="M31" s="288">
        <f t="shared" si="6"/>
        <v>91144386.67</v>
      </c>
      <c r="N31" s="289">
        <f t="shared" si="17"/>
        <v>2.333333333</v>
      </c>
      <c r="O31" s="290">
        <f t="shared" si="7"/>
        <v>17.41666667</v>
      </c>
      <c r="P31" s="288">
        <v>1200000.0</v>
      </c>
      <c r="Q31" s="288">
        <f t="shared" si="8"/>
        <v>23700000</v>
      </c>
      <c r="R31" s="288">
        <f>VLOOKUP(A31,Data2023!B$6:F$23,5,0)</f>
        <v>677.5363636</v>
      </c>
      <c r="S31" s="288">
        <f t="shared" si="9"/>
        <v>80199527.67</v>
      </c>
      <c r="T31" s="291">
        <f t="shared" si="10"/>
        <v>195043914.3</v>
      </c>
      <c r="U31" s="288">
        <f t="shared" si="11"/>
        <v>1738.359308</v>
      </c>
      <c r="V31" s="292">
        <f t="shared" si="12"/>
        <v>17.38359308</v>
      </c>
      <c r="W31" s="293">
        <f t="shared" si="13"/>
        <v>16.66666667</v>
      </c>
      <c r="X31" s="294">
        <f t="shared" si="14"/>
        <v>191.2195239</v>
      </c>
      <c r="Y31" s="295">
        <v>1.0</v>
      </c>
    </row>
    <row r="32" ht="15.0" hidden="1" customHeight="1">
      <c r="A32" s="281" t="s">
        <v>211</v>
      </c>
      <c r="B32" s="282">
        <f t="shared" si="1"/>
        <v>1961.237802</v>
      </c>
      <c r="C32" s="283">
        <v>7.0</v>
      </c>
      <c r="D32" s="284">
        <v>0.0</v>
      </c>
      <c r="E32" s="284">
        <v>0.0</v>
      </c>
      <c r="F32" s="285">
        <v>1.02</v>
      </c>
      <c r="G32" s="284">
        <f t="shared" si="2"/>
        <v>117300</v>
      </c>
      <c r="H32" s="297">
        <f t="shared" si="18"/>
        <v>115000</v>
      </c>
      <c r="I32" s="287">
        <f t="shared" si="3"/>
        <v>1.04</v>
      </c>
      <c r="J32" s="288">
        <f t="shared" si="4"/>
        <v>3908.333333</v>
      </c>
      <c r="K32" s="288">
        <f t="shared" si="5"/>
        <v>123664.6667</v>
      </c>
      <c r="L32" s="288">
        <f t="shared" si="15"/>
        <v>770</v>
      </c>
      <c r="M32" s="288">
        <f t="shared" si="6"/>
        <v>95221793.33</v>
      </c>
      <c r="N32" s="289">
        <f t="shared" si="17"/>
        <v>2.333333333</v>
      </c>
      <c r="O32" s="290">
        <f t="shared" si="7"/>
        <v>18.20833333</v>
      </c>
      <c r="P32" s="288">
        <v>1200000.0</v>
      </c>
      <c r="Q32" s="288">
        <f t="shared" si="8"/>
        <v>24650000</v>
      </c>
      <c r="R32" s="288">
        <f>VLOOKUP(A32,Data2023!B$6:F$23,5,0)</f>
        <v>677.5363636</v>
      </c>
      <c r="S32" s="288">
        <f t="shared" si="9"/>
        <v>83787308.56</v>
      </c>
      <c r="T32" s="291">
        <f t="shared" si="10"/>
        <v>203659101.9</v>
      </c>
      <c r="U32" s="288">
        <f t="shared" si="11"/>
        <v>1736.224228</v>
      </c>
      <c r="V32" s="292">
        <f t="shared" si="12"/>
        <v>17.36224228</v>
      </c>
      <c r="W32" s="293">
        <f t="shared" si="13"/>
        <v>16.66666667</v>
      </c>
      <c r="X32" s="294">
        <f t="shared" si="14"/>
        <v>190.984665</v>
      </c>
      <c r="Y32" s="295">
        <v>1.0</v>
      </c>
    </row>
    <row r="33" ht="15.0" hidden="1" customHeight="1">
      <c r="A33" s="281" t="s">
        <v>211</v>
      </c>
      <c r="B33" s="282">
        <f t="shared" si="1"/>
        <v>1959.045786</v>
      </c>
      <c r="C33" s="283">
        <v>7.0</v>
      </c>
      <c r="D33" s="284">
        <v>0.0</v>
      </c>
      <c r="E33" s="284">
        <v>0.0</v>
      </c>
      <c r="F33" s="285">
        <v>1.02</v>
      </c>
      <c r="G33" s="284">
        <f t="shared" si="2"/>
        <v>122400</v>
      </c>
      <c r="H33" s="297">
        <f t="shared" si="18"/>
        <v>120000</v>
      </c>
      <c r="I33" s="287">
        <f t="shared" si="3"/>
        <v>1.04</v>
      </c>
      <c r="J33" s="288">
        <f t="shared" si="4"/>
        <v>4000</v>
      </c>
      <c r="K33" s="288">
        <f t="shared" si="5"/>
        <v>128960</v>
      </c>
      <c r="L33" s="288">
        <f t="shared" si="15"/>
        <v>770</v>
      </c>
      <c r="M33" s="288">
        <f t="shared" si="6"/>
        <v>99299200</v>
      </c>
      <c r="N33" s="289">
        <f t="shared" si="17"/>
        <v>2.333333333</v>
      </c>
      <c r="O33" s="290">
        <f t="shared" si="7"/>
        <v>19</v>
      </c>
      <c r="P33" s="288">
        <v>1200000.0</v>
      </c>
      <c r="Q33" s="288">
        <f t="shared" si="8"/>
        <v>25600000</v>
      </c>
      <c r="R33" s="288">
        <f>VLOOKUP(A33,Data2023!B$6:F$23,5,0)</f>
        <v>677.5363636</v>
      </c>
      <c r="S33" s="288">
        <f t="shared" si="9"/>
        <v>87375089.45</v>
      </c>
      <c r="T33" s="291">
        <f t="shared" si="10"/>
        <v>212274289.5</v>
      </c>
      <c r="U33" s="288">
        <f t="shared" si="11"/>
        <v>1734.267071</v>
      </c>
      <c r="V33" s="292">
        <f t="shared" si="12"/>
        <v>17.34267071</v>
      </c>
      <c r="W33" s="293">
        <f t="shared" si="13"/>
        <v>16.66666667</v>
      </c>
      <c r="X33" s="294">
        <f t="shared" si="14"/>
        <v>190.7693778</v>
      </c>
      <c r="Y33" s="295">
        <v>1.0</v>
      </c>
    </row>
    <row r="34" ht="15.75" hidden="1" customHeight="1">
      <c r="A34" s="281" t="s">
        <v>211</v>
      </c>
      <c r="B34" s="282">
        <f t="shared" si="1"/>
        <v>1957.029131</v>
      </c>
      <c r="C34" s="283">
        <v>7.0</v>
      </c>
      <c r="D34" s="284">
        <v>0.0</v>
      </c>
      <c r="E34" s="284">
        <v>0.0</v>
      </c>
      <c r="F34" s="285">
        <v>1.02</v>
      </c>
      <c r="G34" s="284">
        <f t="shared" si="2"/>
        <v>127500</v>
      </c>
      <c r="H34" s="297">
        <f t="shared" si="18"/>
        <v>125000</v>
      </c>
      <c r="I34" s="287">
        <f t="shared" si="3"/>
        <v>1.04</v>
      </c>
      <c r="J34" s="288">
        <f t="shared" si="4"/>
        <v>4091.666667</v>
      </c>
      <c r="K34" s="288">
        <f t="shared" si="5"/>
        <v>134255.3333</v>
      </c>
      <c r="L34" s="288">
        <f t="shared" si="15"/>
        <v>770</v>
      </c>
      <c r="M34" s="288">
        <f t="shared" si="6"/>
        <v>103376606.7</v>
      </c>
      <c r="N34" s="289">
        <f t="shared" si="17"/>
        <v>2.333333333</v>
      </c>
      <c r="O34" s="290">
        <f t="shared" si="7"/>
        <v>19.79166667</v>
      </c>
      <c r="P34" s="288">
        <v>1200000.0</v>
      </c>
      <c r="Q34" s="288">
        <f t="shared" si="8"/>
        <v>26550000</v>
      </c>
      <c r="R34" s="288">
        <f>VLOOKUP(A34,Data2023!B$6:F$23,5,0)</f>
        <v>677.5363636</v>
      </c>
      <c r="S34" s="288">
        <f t="shared" si="9"/>
        <v>90962870.35</v>
      </c>
      <c r="T34" s="291">
        <f t="shared" si="10"/>
        <v>220889477</v>
      </c>
      <c r="U34" s="288">
        <f t="shared" si="11"/>
        <v>1732.466486</v>
      </c>
      <c r="V34" s="292">
        <f t="shared" si="12"/>
        <v>17.32466486</v>
      </c>
      <c r="W34" s="293">
        <f t="shared" si="13"/>
        <v>16.66666667</v>
      </c>
      <c r="X34" s="294">
        <f t="shared" si="14"/>
        <v>190.5713135</v>
      </c>
      <c r="Y34" s="295">
        <v>1.0</v>
      </c>
    </row>
    <row r="35" ht="15.75" hidden="1" customHeight="1">
      <c r="A35" s="281" t="s">
        <v>211</v>
      </c>
      <c r="B35" s="282">
        <f t="shared" si="1"/>
        <v>1955.167604</v>
      </c>
      <c r="C35" s="283">
        <v>7.0</v>
      </c>
      <c r="D35" s="284">
        <v>0.0</v>
      </c>
      <c r="E35" s="284">
        <v>0.0</v>
      </c>
      <c r="F35" s="285">
        <v>1.02</v>
      </c>
      <c r="G35" s="284">
        <f t="shared" si="2"/>
        <v>132600</v>
      </c>
      <c r="H35" s="297">
        <f t="shared" si="18"/>
        <v>130000</v>
      </c>
      <c r="I35" s="287">
        <f t="shared" si="3"/>
        <v>1.04</v>
      </c>
      <c r="J35" s="288">
        <f t="shared" si="4"/>
        <v>4183.333333</v>
      </c>
      <c r="K35" s="288">
        <f t="shared" si="5"/>
        <v>139550.6667</v>
      </c>
      <c r="L35" s="288">
        <f t="shared" si="15"/>
        <v>770</v>
      </c>
      <c r="M35" s="288">
        <f t="shared" si="6"/>
        <v>107454013.3</v>
      </c>
      <c r="N35" s="289">
        <f t="shared" si="17"/>
        <v>2.333333333</v>
      </c>
      <c r="O35" s="290">
        <f t="shared" si="7"/>
        <v>20.58333333</v>
      </c>
      <c r="P35" s="288">
        <v>1200000.0</v>
      </c>
      <c r="Q35" s="288">
        <f t="shared" si="8"/>
        <v>27500000</v>
      </c>
      <c r="R35" s="288">
        <f>VLOOKUP(A35,Data2023!B$6:F$23,5,0)</f>
        <v>677.5363636</v>
      </c>
      <c r="S35" s="288">
        <f t="shared" si="9"/>
        <v>94550651.24</v>
      </c>
      <c r="T35" s="291">
        <f t="shared" si="10"/>
        <v>229504664.6</v>
      </c>
      <c r="U35" s="288">
        <f t="shared" si="11"/>
        <v>1730.804409</v>
      </c>
      <c r="V35" s="292">
        <f t="shared" si="12"/>
        <v>17.30804409</v>
      </c>
      <c r="W35" s="293">
        <f t="shared" si="13"/>
        <v>16.66666667</v>
      </c>
      <c r="X35" s="294">
        <f t="shared" si="14"/>
        <v>190.3884849</v>
      </c>
      <c r="Y35" s="295">
        <v>1.0</v>
      </c>
    </row>
    <row r="36" ht="15.75" hidden="1" customHeight="1">
      <c r="A36" s="281" t="s">
        <v>211</v>
      </c>
      <c r="B36" s="282">
        <f t="shared" si="1"/>
        <v>1953.443968</v>
      </c>
      <c r="C36" s="283">
        <v>7.0</v>
      </c>
      <c r="D36" s="284">
        <v>0.0</v>
      </c>
      <c r="E36" s="284">
        <v>0.0</v>
      </c>
      <c r="F36" s="285">
        <v>1.02</v>
      </c>
      <c r="G36" s="284">
        <f t="shared" si="2"/>
        <v>137700</v>
      </c>
      <c r="H36" s="301">
        <f t="shared" si="18"/>
        <v>135000</v>
      </c>
      <c r="I36" s="287">
        <f t="shared" si="3"/>
        <v>1.04</v>
      </c>
      <c r="J36" s="288">
        <f t="shared" si="4"/>
        <v>4275</v>
      </c>
      <c r="K36" s="288">
        <f t="shared" si="5"/>
        <v>144846</v>
      </c>
      <c r="L36" s="288">
        <f t="shared" si="15"/>
        <v>770</v>
      </c>
      <c r="M36" s="288">
        <f t="shared" si="6"/>
        <v>111531420</v>
      </c>
      <c r="N36" s="289">
        <f t="shared" si="17"/>
        <v>2.333333333</v>
      </c>
      <c r="O36" s="290">
        <f t="shared" si="7"/>
        <v>21.375</v>
      </c>
      <c r="P36" s="288">
        <v>1200000.0</v>
      </c>
      <c r="Q36" s="288">
        <f t="shared" si="8"/>
        <v>28450000</v>
      </c>
      <c r="R36" s="288">
        <f>VLOOKUP(A36,Data2023!B$6:F$23,5,0)</f>
        <v>677.5363636</v>
      </c>
      <c r="S36" s="288">
        <f t="shared" si="9"/>
        <v>98138432.13</v>
      </c>
      <c r="T36" s="291">
        <f t="shared" si="10"/>
        <v>238119852.1</v>
      </c>
      <c r="U36" s="288">
        <f t="shared" si="11"/>
        <v>1729.265448</v>
      </c>
      <c r="V36" s="292">
        <f t="shared" si="12"/>
        <v>17.29265448</v>
      </c>
      <c r="W36" s="293">
        <f t="shared" si="13"/>
        <v>16.66666667</v>
      </c>
      <c r="X36" s="294">
        <f t="shared" si="14"/>
        <v>190.2191992</v>
      </c>
      <c r="Y36" s="295">
        <v>1.0</v>
      </c>
    </row>
    <row r="37" ht="15.75" hidden="1" customHeight="1">
      <c r="A37" s="281" t="s">
        <v>211</v>
      </c>
      <c r="B37" s="282">
        <f t="shared" si="1"/>
        <v>1951.843449</v>
      </c>
      <c r="C37" s="283">
        <v>7.0</v>
      </c>
      <c r="D37" s="284">
        <v>0.0</v>
      </c>
      <c r="E37" s="284">
        <v>0.0</v>
      </c>
      <c r="F37" s="285">
        <v>1.02</v>
      </c>
      <c r="G37" s="284">
        <f t="shared" si="2"/>
        <v>142800</v>
      </c>
      <c r="H37" s="301">
        <f t="shared" si="18"/>
        <v>140000</v>
      </c>
      <c r="I37" s="287">
        <f t="shared" si="3"/>
        <v>1.04</v>
      </c>
      <c r="J37" s="288">
        <f t="shared" si="4"/>
        <v>4366.666667</v>
      </c>
      <c r="K37" s="288">
        <f t="shared" si="5"/>
        <v>150141.3333</v>
      </c>
      <c r="L37" s="288">
        <f t="shared" si="15"/>
        <v>770</v>
      </c>
      <c r="M37" s="288">
        <f t="shared" si="6"/>
        <v>115608826.7</v>
      </c>
      <c r="N37" s="289">
        <f t="shared" si="17"/>
        <v>2.333333333</v>
      </c>
      <c r="O37" s="290">
        <f t="shared" si="7"/>
        <v>22.16666667</v>
      </c>
      <c r="P37" s="288">
        <v>1200000.0</v>
      </c>
      <c r="Q37" s="288">
        <f t="shared" si="8"/>
        <v>29400000</v>
      </c>
      <c r="R37" s="288">
        <f>VLOOKUP(A37,Data2023!B$6:F$23,5,0)</f>
        <v>677.5363636</v>
      </c>
      <c r="S37" s="288">
        <f t="shared" si="9"/>
        <v>101726213</v>
      </c>
      <c r="T37" s="291">
        <f t="shared" si="10"/>
        <v>246735039.7</v>
      </c>
      <c r="U37" s="288">
        <f t="shared" si="11"/>
        <v>1727.836412</v>
      </c>
      <c r="V37" s="292">
        <f t="shared" si="12"/>
        <v>17.27836412</v>
      </c>
      <c r="W37" s="293">
        <f t="shared" si="13"/>
        <v>16.66666667</v>
      </c>
      <c r="X37" s="294">
        <f t="shared" si="14"/>
        <v>190.0620054</v>
      </c>
      <c r="Y37" s="295">
        <v>1.0</v>
      </c>
    </row>
    <row r="38" ht="15.75" hidden="1" customHeight="1">
      <c r="A38" s="281" t="s">
        <v>211</v>
      </c>
      <c r="B38" s="282">
        <f t="shared" si="1"/>
        <v>1950.35331</v>
      </c>
      <c r="C38" s="283">
        <v>7.0</v>
      </c>
      <c r="D38" s="284">
        <v>0.0</v>
      </c>
      <c r="E38" s="284">
        <v>0.0</v>
      </c>
      <c r="F38" s="285">
        <v>1.02</v>
      </c>
      <c r="G38" s="284">
        <f t="shared" si="2"/>
        <v>147900</v>
      </c>
      <c r="H38" s="301">
        <f t="shared" si="18"/>
        <v>145000</v>
      </c>
      <c r="I38" s="287">
        <f t="shared" si="3"/>
        <v>1.04</v>
      </c>
      <c r="J38" s="288">
        <f t="shared" si="4"/>
        <v>4458.333333</v>
      </c>
      <c r="K38" s="288">
        <f t="shared" si="5"/>
        <v>155436.6667</v>
      </c>
      <c r="L38" s="288">
        <f t="shared" si="15"/>
        <v>770</v>
      </c>
      <c r="M38" s="288">
        <f t="shared" si="6"/>
        <v>119686233.3</v>
      </c>
      <c r="N38" s="289">
        <f t="shared" si="17"/>
        <v>2.333333333</v>
      </c>
      <c r="O38" s="290">
        <f t="shared" si="7"/>
        <v>22.95833333</v>
      </c>
      <c r="P38" s="288">
        <v>1200000.0</v>
      </c>
      <c r="Q38" s="288">
        <f t="shared" si="8"/>
        <v>30350000</v>
      </c>
      <c r="R38" s="288">
        <f>VLOOKUP(A38,Data2023!B$6:F$23,5,0)</f>
        <v>677.5363636</v>
      </c>
      <c r="S38" s="288">
        <f t="shared" si="9"/>
        <v>105313993.9</v>
      </c>
      <c r="T38" s="291">
        <f t="shared" si="10"/>
        <v>255350227.2</v>
      </c>
      <c r="U38" s="288">
        <f t="shared" si="11"/>
        <v>1726.505931</v>
      </c>
      <c r="V38" s="292">
        <f t="shared" si="12"/>
        <v>17.26505931</v>
      </c>
      <c r="W38" s="293">
        <f t="shared" si="13"/>
        <v>16.66666667</v>
      </c>
      <c r="X38" s="294">
        <f t="shared" si="14"/>
        <v>189.9156524</v>
      </c>
      <c r="Y38" s="295">
        <v>1.0</v>
      </c>
    </row>
    <row r="39" ht="15.75" hidden="1" customHeight="1">
      <c r="A39" s="281" t="s">
        <v>211</v>
      </c>
      <c r="B39" s="282">
        <f t="shared" si="1"/>
        <v>1948.962514</v>
      </c>
      <c r="C39" s="283">
        <v>7.0</v>
      </c>
      <c r="D39" s="284">
        <v>0.0</v>
      </c>
      <c r="E39" s="284">
        <v>0.0</v>
      </c>
      <c r="F39" s="285">
        <v>1.02</v>
      </c>
      <c r="G39" s="284">
        <f t="shared" si="2"/>
        <v>153000</v>
      </c>
      <c r="H39" s="301">
        <f t="shared" si="18"/>
        <v>150000</v>
      </c>
      <c r="I39" s="287">
        <f t="shared" si="3"/>
        <v>1.04</v>
      </c>
      <c r="J39" s="288">
        <f t="shared" si="4"/>
        <v>4550</v>
      </c>
      <c r="K39" s="288">
        <f t="shared" si="5"/>
        <v>160732</v>
      </c>
      <c r="L39" s="288">
        <f t="shared" si="15"/>
        <v>770</v>
      </c>
      <c r="M39" s="288">
        <f t="shared" si="6"/>
        <v>123763640</v>
      </c>
      <c r="N39" s="289">
        <f t="shared" si="17"/>
        <v>2.333333333</v>
      </c>
      <c r="O39" s="290">
        <f t="shared" si="7"/>
        <v>23.75</v>
      </c>
      <c r="P39" s="288">
        <v>1200000.0</v>
      </c>
      <c r="Q39" s="288">
        <f t="shared" si="8"/>
        <v>31300000</v>
      </c>
      <c r="R39" s="288">
        <f>VLOOKUP(A39,Data2023!B$6:F$23,5,0)</f>
        <v>677.5363636</v>
      </c>
      <c r="S39" s="288">
        <f t="shared" si="9"/>
        <v>108901774.8</v>
      </c>
      <c r="T39" s="291">
        <f t="shared" si="10"/>
        <v>263965414.8</v>
      </c>
      <c r="U39" s="288">
        <f t="shared" si="11"/>
        <v>1725.264149</v>
      </c>
      <c r="V39" s="292">
        <f t="shared" si="12"/>
        <v>17.25264149</v>
      </c>
      <c r="W39" s="293">
        <f t="shared" si="13"/>
        <v>16.66666667</v>
      </c>
      <c r="X39" s="294">
        <f t="shared" si="14"/>
        <v>189.7790564</v>
      </c>
      <c r="Y39" s="295">
        <v>1.0</v>
      </c>
    </row>
    <row r="40" ht="15.75" hidden="1" customHeight="1">
      <c r="A40" s="281" t="s">
        <v>211</v>
      </c>
      <c r="B40" s="282">
        <f t="shared" si="1"/>
        <v>1947.661446</v>
      </c>
      <c r="C40" s="283">
        <v>7.0</v>
      </c>
      <c r="D40" s="284">
        <v>0.0</v>
      </c>
      <c r="E40" s="284">
        <v>0.0</v>
      </c>
      <c r="F40" s="285">
        <v>1.02</v>
      </c>
      <c r="G40" s="284">
        <f t="shared" si="2"/>
        <v>158100</v>
      </c>
      <c r="H40" s="301">
        <f t="shared" si="18"/>
        <v>155000</v>
      </c>
      <c r="I40" s="287">
        <f t="shared" si="3"/>
        <v>1.04</v>
      </c>
      <c r="J40" s="288">
        <f t="shared" si="4"/>
        <v>4641.666667</v>
      </c>
      <c r="K40" s="288">
        <f t="shared" si="5"/>
        <v>166027.3333</v>
      </c>
      <c r="L40" s="288">
        <f t="shared" si="15"/>
        <v>770</v>
      </c>
      <c r="M40" s="288">
        <f t="shared" si="6"/>
        <v>127841046.7</v>
      </c>
      <c r="N40" s="289">
        <f t="shared" si="17"/>
        <v>2.333333333</v>
      </c>
      <c r="O40" s="290">
        <f t="shared" si="7"/>
        <v>24.54166667</v>
      </c>
      <c r="P40" s="288">
        <v>1200000.0</v>
      </c>
      <c r="Q40" s="288">
        <f t="shared" si="8"/>
        <v>32250000</v>
      </c>
      <c r="R40" s="288">
        <f>VLOOKUP(A40,Data2023!B$6:F$23,5,0)</f>
        <v>677.5363636</v>
      </c>
      <c r="S40" s="288">
        <f t="shared" si="9"/>
        <v>112489555.7</v>
      </c>
      <c r="T40" s="291">
        <f t="shared" si="10"/>
        <v>272580602.4</v>
      </c>
      <c r="U40" s="288">
        <f t="shared" si="11"/>
        <v>1724.102482</v>
      </c>
      <c r="V40" s="292">
        <f t="shared" si="12"/>
        <v>17.24102482</v>
      </c>
      <c r="W40" s="293">
        <f t="shared" si="13"/>
        <v>16.66666667</v>
      </c>
      <c r="X40" s="294">
        <f t="shared" si="14"/>
        <v>189.651273</v>
      </c>
      <c r="Y40" s="295">
        <v>1.0</v>
      </c>
    </row>
    <row r="41" ht="15.75" hidden="1" customHeight="1">
      <c r="A41" s="281" t="s">
        <v>211</v>
      </c>
      <c r="B41" s="282">
        <f t="shared" si="1"/>
        <v>1946.441695</v>
      </c>
      <c r="C41" s="283">
        <v>7.0</v>
      </c>
      <c r="D41" s="284">
        <v>0.0</v>
      </c>
      <c r="E41" s="284">
        <v>0.0</v>
      </c>
      <c r="F41" s="285">
        <v>1.02</v>
      </c>
      <c r="G41" s="284">
        <f t="shared" si="2"/>
        <v>163200</v>
      </c>
      <c r="H41" s="302">
        <f t="shared" si="18"/>
        <v>160000</v>
      </c>
      <c r="I41" s="287">
        <f t="shared" si="3"/>
        <v>1.04</v>
      </c>
      <c r="J41" s="288">
        <f t="shared" si="4"/>
        <v>4733.333333</v>
      </c>
      <c r="K41" s="288">
        <f t="shared" si="5"/>
        <v>171322.6667</v>
      </c>
      <c r="L41" s="288">
        <f t="shared" si="15"/>
        <v>770</v>
      </c>
      <c r="M41" s="288">
        <f t="shared" si="6"/>
        <v>131918453.3</v>
      </c>
      <c r="N41" s="289">
        <f t="shared" si="17"/>
        <v>2.333333333</v>
      </c>
      <c r="O41" s="290">
        <f t="shared" si="7"/>
        <v>25.33333333</v>
      </c>
      <c r="P41" s="288">
        <v>1200000.0</v>
      </c>
      <c r="Q41" s="288">
        <f t="shared" si="8"/>
        <v>33200000</v>
      </c>
      <c r="R41" s="288">
        <f>VLOOKUP(A41,Data2023!B$6:F$23,5,0)</f>
        <v>677.5363636</v>
      </c>
      <c r="S41" s="288">
        <f t="shared" si="9"/>
        <v>116077336.6</v>
      </c>
      <c r="T41" s="291">
        <f t="shared" si="10"/>
        <v>281195789.9</v>
      </c>
      <c r="U41" s="288">
        <f t="shared" si="11"/>
        <v>1723.013419</v>
      </c>
      <c r="V41" s="292">
        <f t="shared" si="12"/>
        <v>17.23013419</v>
      </c>
      <c r="W41" s="293">
        <f t="shared" si="13"/>
        <v>16.66666667</v>
      </c>
      <c r="X41" s="294">
        <f t="shared" si="14"/>
        <v>189.531476</v>
      </c>
      <c r="Y41" s="295">
        <v>1.0</v>
      </c>
    </row>
    <row r="42" ht="15.75" hidden="1" customHeight="1">
      <c r="A42" s="281" t="s">
        <v>211</v>
      </c>
      <c r="B42" s="282">
        <f t="shared" si="1"/>
        <v>1945.295869</v>
      </c>
      <c r="C42" s="283">
        <v>7.0</v>
      </c>
      <c r="D42" s="284">
        <v>0.0</v>
      </c>
      <c r="E42" s="284">
        <v>0.0</v>
      </c>
      <c r="F42" s="285">
        <v>1.02</v>
      </c>
      <c r="G42" s="284">
        <f t="shared" si="2"/>
        <v>168300</v>
      </c>
      <c r="H42" s="302">
        <f t="shared" si="18"/>
        <v>165000</v>
      </c>
      <c r="I42" s="287">
        <f t="shared" si="3"/>
        <v>1.04</v>
      </c>
      <c r="J42" s="288">
        <f t="shared" si="4"/>
        <v>4825</v>
      </c>
      <c r="K42" s="288">
        <f t="shared" si="5"/>
        <v>176618</v>
      </c>
      <c r="L42" s="288">
        <f t="shared" si="15"/>
        <v>770</v>
      </c>
      <c r="M42" s="288">
        <f t="shared" si="6"/>
        <v>135995860</v>
      </c>
      <c r="N42" s="289">
        <f t="shared" si="17"/>
        <v>2.333333333</v>
      </c>
      <c r="O42" s="290">
        <f t="shared" si="7"/>
        <v>26.125</v>
      </c>
      <c r="P42" s="288">
        <v>1200000.0</v>
      </c>
      <c r="Q42" s="288">
        <f t="shared" si="8"/>
        <v>34150000</v>
      </c>
      <c r="R42" s="288">
        <f>VLOOKUP(A42,Data2023!B$6:F$23,5,0)</f>
        <v>677.5363636</v>
      </c>
      <c r="S42" s="288">
        <f t="shared" si="9"/>
        <v>119665117.5</v>
      </c>
      <c r="T42" s="291">
        <f t="shared" si="10"/>
        <v>289810977.5</v>
      </c>
      <c r="U42" s="288">
        <f t="shared" si="11"/>
        <v>1721.990359</v>
      </c>
      <c r="V42" s="292">
        <f t="shared" si="12"/>
        <v>17.21990359</v>
      </c>
      <c r="W42" s="293">
        <f t="shared" si="13"/>
        <v>16.66666667</v>
      </c>
      <c r="X42" s="294">
        <f t="shared" si="14"/>
        <v>189.4189395</v>
      </c>
      <c r="Y42" s="295">
        <v>1.0</v>
      </c>
    </row>
    <row r="43" ht="15.75" hidden="1" customHeight="1">
      <c r="A43" s="281" t="s">
        <v>211</v>
      </c>
      <c r="B43" s="282">
        <f t="shared" si="1"/>
        <v>1944.217444</v>
      </c>
      <c r="C43" s="283">
        <v>7.0</v>
      </c>
      <c r="D43" s="284">
        <v>0.0</v>
      </c>
      <c r="E43" s="284">
        <v>0.0</v>
      </c>
      <c r="F43" s="285">
        <v>1.02</v>
      </c>
      <c r="G43" s="284">
        <f t="shared" si="2"/>
        <v>173400</v>
      </c>
      <c r="H43" s="302">
        <f t="shared" si="18"/>
        <v>170000</v>
      </c>
      <c r="I43" s="287">
        <f t="shared" si="3"/>
        <v>1.04</v>
      </c>
      <c r="J43" s="288">
        <f t="shared" si="4"/>
        <v>4916.666667</v>
      </c>
      <c r="K43" s="288">
        <f t="shared" si="5"/>
        <v>181913.3333</v>
      </c>
      <c r="L43" s="288">
        <f t="shared" si="15"/>
        <v>770</v>
      </c>
      <c r="M43" s="288">
        <f t="shared" si="6"/>
        <v>140073266.7</v>
      </c>
      <c r="N43" s="289">
        <f t="shared" si="17"/>
        <v>2.333333333</v>
      </c>
      <c r="O43" s="290">
        <f t="shared" si="7"/>
        <v>26.91666667</v>
      </c>
      <c r="P43" s="288">
        <v>1200000.0</v>
      </c>
      <c r="Q43" s="288">
        <f t="shared" si="8"/>
        <v>35100000</v>
      </c>
      <c r="R43" s="288">
        <f>VLOOKUP(A43,Data2023!B$6:F$23,5,0)</f>
        <v>677.5363636</v>
      </c>
      <c r="S43" s="288">
        <f t="shared" si="9"/>
        <v>123252898.4</v>
      </c>
      <c r="T43" s="291">
        <f t="shared" si="10"/>
        <v>298426165</v>
      </c>
      <c r="U43" s="288">
        <f t="shared" si="11"/>
        <v>1721.02748</v>
      </c>
      <c r="V43" s="292">
        <f t="shared" si="12"/>
        <v>17.2102748</v>
      </c>
      <c r="W43" s="293">
        <f t="shared" si="13"/>
        <v>16.66666667</v>
      </c>
      <c r="X43" s="294">
        <f t="shared" si="14"/>
        <v>189.3130228</v>
      </c>
      <c r="Y43" s="295">
        <v>1.0</v>
      </c>
    </row>
    <row r="44" ht="15.75" hidden="1" customHeight="1">
      <c r="A44" s="281" t="s">
        <v>211</v>
      </c>
      <c r="B44" s="282">
        <f t="shared" si="1"/>
        <v>1943.200644</v>
      </c>
      <c r="C44" s="283">
        <v>7.0</v>
      </c>
      <c r="D44" s="284">
        <v>0.0</v>
      </c>
      <c r="E44" s="284">
        <v>0.0</v>
      </c>
      <c r="F44" s="285">
        <v>1.02</v>
      </c>
      <c r="G44" s="284">
        <f t="shared" si="2"/>
        <v>178500</v>
      </c>
      <c r="H44" s="302">
        <f t="shared" si="18"/>
        <v>175000</v>
      </c>
      <c r="I44" s="287">
        <f t="shared" si="3"/>
        <v>1.04</v>
      </c>
      <c r="J44" s="288">
        <f t="shared" si="4"/>
        <v>5008.333333</v>
      </c>
      <c r="K44" s="288">
        <f t="shared" si="5"/>
        <v>187208.6667</v>
      </c>
      <c r="L44" s="288">
        <f t="shared" si="15"/>
        <v>770</v>
      </c>
      <c r="M44" s="288">
        <f t="shared" si="6"/>
        <v>144150673.3</v>
      </c>
      <c r="N44" s="289">
        <f t="shared" si="17"/>
        <v>2.333333333</v>
      </c>
      <c r="O44" s="290">
        <f t="shared" si="7"/>
        <v>27.70833333</v>
      </c>
      <c r="P44" s="288">
        <v>1200000.0</v>
      </c>
      <c r="Q44" s="288">
        <f t="shared" si="8"/>
        <v>36050000</v>
      </c>
      <c r="R44" s="288">
        <f>VLOOKUP(A44,Data2023!B$6:F$23,5,0)</f>
        <v>677.5363636</v>
      </c>
      <c r="S44" s="288">
        <f t="shared" si="9"/>
        <v>126840679.3</v>
      </c>
      <c r="T44" s="291">
        <f t="shared" si="10"/>
        <v>307041352.6</v>
      </c>
      <c r="U44" s="288">
        <f t="shared" si="11"/>
        <v>1720.119622</v>
      </c>
      <c r="V44" s="292">
        <f t="shared" si="12"/>
        <v>17.20119622</v>
      </c>
      <c r="W44" s="293">
        <f t="shared" si="13"/>
        <v>16.66666667</v>
      </c>
      <c r="X44" s="294">
        <f t="shared" si="14"/>
        <v>189.2131585</v>
      </c>
      <c r="Y44" s="295">
        <v>1.0</v>
      </c>
    </row>
    <row r="45" ht="15.75" hidden="1" customHeight="1">
      <c r="A45" s="281" t="s">
        <v>211</v>
      </c>
      <c r="B45" s="282">
        <f t="shared" si="1"/>
        <v>1942.240332</v>
      </c>
      <c r="C45" s="283">
        <v>7.0</v>
      </c>
      <c r="D45" s="284">
        <v>0.0</v>
      </c>
      <c r="E45" s="284">
        <v>0.0</v>
      </c>
      <c r="F45" s="285">
        <v>1.02</v>
      </c>
      <c r="G45" s="284">
        <f t="shared" si="2"/>
        <v>183600</v>
      </c>
      <c r="H45" s="302">
        <f t="shared" si="18"/>
        <v>180000</v>
      </c>
      <c r="I45" s="287">
        <f t="shared" si="3"/>
        <v>1.04</v>
      </c>
      <c r="J45" s="288">
        <f t="shared" si="4"/>
        <v>5100</v>
      </c>
      <c r="K45" s="288">
        <f t="shared" si="5"/>
        <v>192504</v>
      </c>
      <c r="L45" s="288">
        <f t="shared" si="15"/>
        <v>770</v>
      </c>
      <c r="M45" s="288">
        <f t="shared" si="6"/>
        <v>148228080</v>
      </c>
      <c r="N45" s="289">
        <f t="shared" si="17"/>
        <v>2.333333333</v>
      </c>
      <c r="O45" s="290">
        <f t="shared" si="7"/>
        <v>28.5</v>
      </c>
      <c r="P45" s="288">
        <v>1200000.0</v>
      </c>
      <c r="Q45" s="288">
        <f t="shared" si="8"/>
        <v>37000000</v>
      </c>
      <c r="R45" s="288">
        <f>VLOOKUP(A45,Data2023!B$6:F$23,5,0)</f>
        <v>677.5363636</v>
      </c>
      <c r="S45" s="288">
        <f t="shared" si="9"/>
        <v>130428460.1</v>
      </c>
      <c r="T45" s="291">
        <f t="shared" si="10"/>
        <v>315656540.1</v>
      </c>
      <c r="U45" s="288">
        <f t="shared" si="11"/>
        <v>1719.262201</v>
      </c>
      <c r="V45" s="292">
        <f t="shared" si="12"/>
        <v>17.19262201</v>
      </c>
      <c r="W45" s="293">
        <f t="shared" si="13"/>
        <v>16.66666667</v>
      </c>
      <c r="X45" s="294">
        <f t="shared" si="14"/>
        <v>189.1188421</v>
      </c>
      <c r="Y45" s="295">
        <v>1.0</v>
      </c>
    </row>
    <row r="46" ht="15.75" hidden="1" customHeight="1">
      <c r="A46" s="281" t="s">
        <v>211</v>
      </c>
      <c r="B46" s="282">
        <f t="shared" si="1"/>
        <v>1941.331929</v>
      </c>
      <c r="C46" s="283">
        <v>7.0</v>
      </c>
      <c r="D46" s="284">
        <v>0.0</v>
      </c>
      <c r="E46" s="284">
        <v>0.0</v>
      </c>
      <c r="F46" s="285">
        <v>1.02</v>
      </c>
      <c r="G46" s="284">
        <f t="shared" si="2"/>
        <v>188700</v>
      </c>
      <c r="H46" s="302">
        <f t="shared" si="18"/>
        <v>185000</v>
      </c>
      <c r="I46" s="287">
        <f t="shared" si="3"/>
        <v>1.04</v>
      </c>
      <c r="J46" s="288">
        <f t="shared" si="4"/>
        <v>5191.666667</v>
      </c>
      <c r="K46" s="288">
        <f t="shared" si="5"/>
        <v>197799.3333</v>
      </c>
      <c r="L46" s="288">
        <f t="shared" si="15"/>
        <v>770</v>
      </c>
      <c r="M46" s="288">
        <f t="shared" si="6"/>
        <v>152305486.7</v>
      </c>
      <c r="N46" s="289">
        <f t="shared" si="17"/>
        <v>2.333333333</v>
      </c>
      <c r="O46" s="290">
        <f t="shared" si="7"/>
        <v>29.29166667</v>
      </c>
      <c r="P46" s="288">
        <v>1200000.0</v>
      </c>
      <c r="Q46" s="288">
        <f t="shared" si="8"/>
        <v>37950000</v>
      </c>
      <c r="R46" s="288">
        <f>VLOOKUP(A46,Data2023!B$6:F$23,5,0)</f>
        <v>677.5363636</v>
      </c>
      <c r="S46" s="288">
        <f t="shared" si="9"/>
        <v>134016241</v>
      </c>
      <c r="T46" s="291">
        <f t="shared" si="10"/>
        <v>324271727.7</v>
      </c>
      <c r="U46" s="288">
        <f t="shared" si="11"/>
        <v>1718.451127</v>
      </c>
      <c r="V46" s="292">
        <f t="shared" si="12"/>
        <v>17.18451127</v>
      </c>
      <c r="W46" s="293">
        <f t="shared" si="13"/>
        <v>16.66666667</v>
      </c>
      <c r="X46" s="294">
        <f t="shared" si="14"/>
        <v>189.029624</v>
      </c>
      <c r="Y46" s="295">
        <v>1.0</v>
      </c>
    </row>
    <row r="47" ht="15.75" hidden="1" customHeight="1">
      <c r="A47" s="281" t="s">
        <v>211</v>
      </c>
      <c r="B47" s="303">
        <f t="shared" si="1"/>
        <v>1940.471337</v>
      </c>
      <c r="C47" s="304">
        <v>7.0</v>
      </c>
      <c r="D47" s="305">
        <v>0.0</v>
      </c>
      <c r="E47" s="305">
        <v>0.0</v>
      </c>
      <c r="F47" s="306">
        <v>1.02</v>
      </c>
      <c r="G47" s="305">
        <f t="shared" si="2"/>
        <v>193800</v>
      </c>
      <c r="H47" s="307">
        <f t="shared" si="18"/>
        <v>190000</v>
      </c>
      <c r="I47" s="287">
        <f t="shared" si="3"/>
        <v>1.04</v>
      </c>
      <c r="J47" s="288">
        <f t="shared" si="4"/>
        <v>5283.333333</v>
      </c>
      <c r="K47" s="288">
        <f t="shared" si="5"/>
        <v>203094.6667</v>
      </c>
      <c r="L47" s="288">
        <f t="shared" si="15"/>
        <v>770</v>
      </c>
      <c r="M47" s="288">
        <f t="shared" si="6"/>
        <v>156382893.3</v>
      </c>
      <c r="N47" s="289">
        <f t="shared" si="17"/>
        <v>2.333333333</v>
      </c>
      <c r="O47" s="290">
        <f t="shared" si="7"/>
        <v>30.08333333</v>
      </c>
      <c r="P47" s="288">
        <v>1200000.0</v>
      </c>
      <c r="Q47" s="288">
        <f t="shared" si="8"/>
        <v>38900000</v>
      </c>
      <c r="R47" s="288">
        <f>VLOOKUP(A47,Data2023!B$6:F$23,5,0)</f>
        <v>677.5363636</v>
      </c>
      <c r="S47" s="288">
        <f t="shared" si="9"/>
        <v>137604021.9</v>
      </c>
      <c r="T47" s="291">
        <f t="shared" si="10"/>
        <v>332886915.3</v>
      </c>
      <c r="U47" s="288">
        <f t="shared" si="11"/>
        <v>1717.682741</v>
      </c>
      <c r="V47" s="292">
        <f t="shared" si="12"/>
        <v>17.17682741</v>
      </c>
      <c r="W47" s="293">
        <f t="shared" si="13"/>
        <v>16.66666667</v>
      </c>
      <c r="X47" s="294">
        <f t="shared" si="14"/>
        <v>188.9451015</v>
      </c>
      <c r="Y47" s="295">
        <v>1.0</v>
      </c>
    </row>
    <row r="48" ht="15.75" hidden="1" customHeight="1">
      <c r="A48" s="308" t="s">
        <v>211</v>
      </c>
      <c r="B48" s="309">
        <f t="shared" si="1"/>
        <v>1939.654878</v>
      </c>
      <c r="C48" s="310">
        <v>7.0</v>
      </c>
      <c r="D48" s="311">
        <v>0.0</v>
      </c>
      <c r="E48" s="311">
        <v>0.0</v>
      </c>
      <c r="F48" s="312">
        <v>1.02</v>
      </c>
      <c r="G48" s="311">
        <f t="shared" si="2"/>
        <v>198900</v>
      </c>
      <c r="H48" s="313">
        <f t="shared" si="18"/>
        <v>195000</v>
      </c>
      <c r="I48" s="314">
        <f t="shared" si="3"/>
        <v>1.04</v>
      </c>
      <c r="J48" s="288">
        <f t="shared" si="4"/>
        <v>5375</v>
      </c>
      <c r="K48" s="288">
        <f t="shared" si="5"/>
        <v>208390</v>
      </c>
      <c r="L48" s="288">
        <f t="shared" si="15"/>
        <v>770</v>
      </c>
      <c r="M48" s="288">
        <f t="shared" si="6"/>
        <v>160460300</v>
      </c>
      <c r="N48" s="289">
        <f t="shared" si="17"/>
        <v>2.333333333</v>
      </c>
      <c r="O48" s="290">
        <f t="shared" si="7"/>
        <v>30.875</v>
      </c>
      <c r="P48" s="288">
        <v>1200000.0</v>
      </c>
      <c r="Q48" s="288">
        <f t="shared" si="8"/>
        <v>39850000</v>
      </c>
      <c r="R48" s="288">
        <f>VLOOKUP(A48,Data2023!B$6:F$23,5,0)</f>
        <v>677.5363636</v>
      </c>
      <c r="S48" s="288">
        <f t="shared" si="9"/>
        <v>141191802.8</v>
      </c>
      <c r="T48" s="291">
        <f t="shared" si="10"/>
        <v>341502102.8</v>
      </c>
      <c r="U48" s="288">
        <f t="shared" si="11"/>
        <v>1716.95376</v>
      </c>
      <c r="V48" s="292">
        <f t="shared" si="12"/>
        <v>17.1695376</v>
      </c>
      <c r="W48" s="293">
        <f t="shared" si="13"/>
        <v>16.66666667</v>
      </c>
      <c r="X48" s="294">
        <f t="shared" si="14"/>
        <v>188.8649136</v>
      </c>
      <c r="Y48" s="295">
        <v>1.0</v>
      </c>
    </row>
    <row r="49" ht="15.75" hidden="1" customHeight="1">
      <c r="A49" s="308" t="s">
        <v>211</v>
      </c>
      <c r="B49" s="315">
        <f t="shared" si="1"/>
        <v>1938.879241</v>
      </c>
      <c r="C49" s="283">
        <v>7.0</v>
      </c>
      <c r="D49" s="284">
        <v>0.0</v>
      </c>
      <c r="E49" s="284">
        <v>0.0</v>
      </c>
      <c r="F49" s="285">
        <v>1.02</v>
      </c>
      <c r="G49" s="284">
        <f t="shared" si="2"/>
        <v>204000</v>
      </c>
      <c r="H49" s="316">
        <f t="shared" si="18"/>
        <v>200000</v>
      </c>
      <c r="I49" s="314">
        <f t="shared" si="3"/>
        <v>1.04</v>
      </c>
      <c r="J49" s="288">
        <f t="shared" si="4"/>
        <v>5466.666667</v>
      </c>
      <c r="K49" s="288">
        <f t="shared" si="5"/>
        <v>213685.3333</v>
      </c>
      <c r="L49" s="288">
        <f t="shared" si="15"/>
        <v>770</v>
      </c>
      <c r="M49" s="288">
        <f t="shared" si="6"/>
        <v>164537706.7</v>
      </c>
      <c r="N49" s="289">
        <f t="shared" si="17"/>
        <v>2.333333333</v>
      </c>
      <c r="O49" s="290">
        <f t="shared" si="7"/>
        <v>31.66666667</v>
      </c>
      <c r="P49" s="288">
        <v>1200000.0</v>
      </c>
      <c r="Q49" s="288">
        <f t="shared" si="8"/>
        <v>40800000</v>
      </c>
      <c r="R49" s="288">
        <f>VLOOKUP(A49,Data2023!B$6:F$23,5,0)</f>
        <v>677.5363636</v>
      </c>
      <c r="S49" s="288">
        <f t="shared" si="9"/>
        <v>144779583.7</v>
      </c>
      <c r="T49" s="291">
        <f t="shared" si="10"/>
        <v>350117290.4</v>
      </c>
      <c r="U49" s="288">
        <f t="shared" si="11"/>
        <v>1716.261227</v>
      </c>
      <c r="V49" s="292">
        <f t="shared" si="12"/>
        <v>17.16261227</v>
      </c>
      <c r="W49" s="293">
        <f t="shared" si="13"/>
        <v>16.66666667</v>
      </c>
      <c r="X49" s="294">
        <f t="shared" si="14"/>
        <v>188.788735</v>
      </c>
      <c r="Y49" s="295">
        <v>1.0</v>
      </c>
    </row>
    <row r="50" ht="15.75" hidden="1" customHeight="1">
      <c r="A50" s="308" t="s">
        <v>211</v>
      </c>
      <c r="B50" s="315">
        <f t="shared" si="1"/>
        <v>1938.141441</v>
      </c>
      <c r="C50" s="283">
        <v>7.0</v>
      </c>
      <c r="D50" s="284">
        <v>0.0</v>
      </c>
      <c r="E50" s="284">
        <v>0.0</v>
      </c>
      <c r="F50" s="285">
        <v>1.02</v>
      </c>
      <c r="G50" s="284">
        <f t="shared" si="2"/>
        <v>209100</v>
      </c>
      <c r="H50" s="316">
        <f t="shared" si="18"/>
        <v>205000</v>
      </c>
      <c r="I50" s="314">
        <f t="shared" si="3"/>
        <v>1.04</v>
      </c>
      <c r="J50" s="288">
        <f t="shared" si="4"/>
        <v>5558.333333</v>
      </c>
      <c r="K50" s="288">
        <f t="shared" si="5"/>
        <v>218980.6667</v>
      </c>
      <c r="L50" s="288">
        <f t="shared" si="15"/>
        <v>770</v>
      </c>
      <c r="M50" s="288">
        <f t="shared" si="6"/>
        <v>168615113.3</v>
      </c>
      <c r="N50" s="289">
        <f t="shared" si="17"/>
        <v>2.333333333</v>
      </c>
      <c r="O50" s="290">
        <f t="shared" si="7"/>
        <v>32.45833333</v>
      </c>
      <c r="P50" s="288">
        <v>1200000.0</v>
      </c>
      <c r="Q50" s="288">
        <f t="shared" si="8"/>
        <v>41750000</v>
      </c>
      <c r="R50" s="288">
        <f>VLOOKUP(A50,Data2023!B$6:F$23,5,0)</f>
        <v>677.5363636</v>
      </c>
      <c r="S50" s="288">
        <f t="shared" si="9"/>
        <v>148367364.6</v>
      </c>
      <c r="T50" s="291">
        <f t="shared" si="10"/>
        <v>358732477.9</v>
      </c>
      <c r="U50" s="288">
        <f t="shared" si="11"/>
        <v>1715.602477</v>
      </c>
      <c r="V50" s="292">
        <f t="shared" si="12"/>
        <v>17.15602477</v>
      </c>
      <c r="W50" s="293">
        <f t="shared" si="13"/>
        <v>16.66666667</v>
      </c>
      <c r="X50" s="294">
        <f t="shared" si="14"/>
        <v>188.7162725</v>
      </c>
      <c r="Y50" s="295">
        <v>1.0</v>
      </c>
    </row>
    <row r="51" ht="15.75" hidden="1" customHeight="1">
      <c r="A51" s="308" t="s">
        <v>211</v>
      </c>
      <c r="B51" s="315">
        <f t="shared" si="1"/>
        <v>1937.438774</v>
      </c>
      <c r="C51" s="283">
        <v>7.0</v>
      </c>
      <c r="D51" s="284">
        <v>0.0</v>
      </c>
      <c r="E51" s="284">
        <v>0.0</v>
      </c>
      <c r="F51" s="285">
        <v>1.02</v>
      </c>
      <c r="G51" s="284">
        <f t="shared" si="2"/>
        <v>214200</v>
      </c>
      <c r="H51" s="316">
        <f t="shared" si="18"/>
        <v>210000</v>
      </c>
      <c r="I51" s="314">
        <f t="shared" si="3"/>
        <v>1.04</v>
      </c>
      <c r="J51" s="288">
        <f t="shared" si="4"/>
        <v>5650</v>
      </c>
      <c r="K51" s="288">
        <f t="shared" si="5"/>
        <v>224276</v>
      </c>
      <c r="L51" s="288">
        <f t="shared" si="15"/>
        <v>770</v>
      </c>
      <c r="M51" s="288">
        <f t="shared" si="6"/>
        <v>172692520</v>
      </c>
      <c r="N51" s="289">
        <f t="shared" si="17"/>
        <v>2.333333333</v>
      </c>
      <c r="O51" s="290">
        <f t="shared" si="7"/>
        <v>33.25</v>
      </c>
      <c r="P51" s="288">
        <v>1200000.0</v>
      </c>
      <c r="Q51" s="288">
        <f t="shared" si="8"/>
        <v>42700000</v>
      </c>
      <c r="R51" s="288">
        <f>VLOOKUP(A51,Data2023!B$6:F$23,5,0)</f>
        <v>677.5363636</v>
      </c>
      <c r="S51" s="288">
        <f t="shared" si="9"/>
        <v>151955145.5</v>
      </c>
      <c r="T51" s="291">
        <f t="shared" si="10"/>
        <v>367347665.5</v>
      </c>
      <c r="U51" s="288">
        <f t="shared" si="11"/>
        <v>1714.975096</v>
      </c>
      <c r="V51" s="292">
        <f t="shared" si="12"/>
        <v>17.14975096</v>
      </c>
      <c r="W51" s="293">
        <f t="shared" si="13"/>
        <v>16.66666667</v>
      </c>
      <c r="X51" s="294">
        <f t="shared" si="14"/>
        <v>188.6472605</v>
      </c>
      <c r="Y51" s="295">
        <v>1.0</v>
      </c>
    </row>
    <row r="52" ht="15.75" hidden="1" customHeight="1">
      <c r="A52" s="308" t="s">
        <v>211</v>
      </c>
      <c r="B52" s="315">
        <f t="shared" si="1"/>
        <v>1936.768789</v>
      </c>
      <c r="C52" s="283">
        <v>7.0</v>
      </c>
      <c r="D52" s="284">
        <v>0.0</v>
      </c>
      <c r="E52" s="284">
        <v>0.0</v>
      </c>
      <c r="F52" s="285">
        <v>1.02</v>
      </c>
      <c r="G52" s="284">
        <f t="shared" si="2"/>
        <v>219300</v>
      </c>
      <c r="H52" s="316">
        <f t="shared" si="18"/>
        <v>215000</v>
      </c>
      <c r="I52" s="314">
        <f t="shared" si="3"/>
        <v>1.04</v>
      </c>
      <c r="J52" s="288">
        <f t="shared" si="4"/>
        <v>5741.666667</v>
      </c>
      <c r="K52" s="288">
        <f t="shared" si="5"/>
        <v>229571.3333</v>
      </c>
      <c r="L52" s="288">
        <f t="shared" si="15"/>
        <v>770</v>
      </c>
      <c r="M52" s="288">
        <f t="shared" si="6"/>
        <v>176769926.7</v>
      </c>
      <c r="N52" s="289">
        <f t="shared" si="17"/>
        <v>2.333333333</v>
      </c>
      <c r="O52" s="290">
        <f t="shared" si="7"/>
        <v>34.04166667</v>
      </c>
      <c r="P52" s="288">
        <v>1200000.0</v>
      </c>
      <c r="Q52" s="288">
        <f t="shared" si="8"/>
        <v>43650000</v>
      </c>
      <c r="R52" s="288">
        <f>VLOOKUP(A52,Data2023!B$6:F$23,5,0)</f>
        <v>677.5363636</v>
      </c>
      <c r="S52" s="288">
        <f t="shared" si="9"/>
        <v>155542926.4</v>
      </c>
      <c r="T52" s="291">
        <f t="shared" si="10"/>
        <v>375962853</v>
      </c>
      <c r="U52" s="288">
        <f t="shared" si="11"/>
        <v>1714.376895</v>
      </c>
      <c r="V52" s="292">
        <f t="shared" si="12"/>
        <v>17.14376895</v>
      </c>
      <c r="W52" s="293">
        <f t="shared" si="13"/>
        <v>16.66666667</v>
      </c>
      <c r="X52" s="294">
        <f t="shared" si="14"/>
        <v>188.5814584</v>
      </c>
      <c r="Y52" s="295">
        <v>1.0</v>
      </c>
    </row>
    <row r="53" ht="15.75" hidden="1" customHeight="1">
      <c r="A53" s="308" t="s">
        <v>211</v>
      </c>
      <c r="B53" s="315">
        <f t="shared" si="1"/>
        <v>1936.129258</v>
      </c>
      <c r="C53" s="283">
        <v>7.0</v>
      </c>
      <c r="D53" s="284">
        <v>0.0</v>
      </c>
      <c r="E53" s="284">
        <v>0.0</v>
      </c>
      <c r="F53" s="285">
        <v>1.02</v>
      </c>
      <c r="G53" s="284">
        <f t="shared" si="2"/>
        <v>224400</v>
      </c>
      <c r="H53" s="316">
        <f t="shared" si="18"/>
        <v>220000</v>
      </c>
      <c r="I53" s="314">
        <f t="shared" si="3"/>
        <v>1.04</v>
      </c>
      <c r="J53" s="288">
        <f t="shared" si="4"/>
        <v>5833.333333</v>
      </c>
      <c r="K53" s="288">
        <f t="shared" si="5"/>
        <v>234866.6667</v>
      </c>
      <c r="L53" s="288">
        <f t="shared" si="15"/>
        <v>770</v>
      </c>
      <c r="M53" s="288">
        <f t="shared" si="6"/>
        <v>180847333.3</v>
      </c>
      <c r="N53" s="289">
        <f t="shared" si="17"/>
        <v>2.333333333</v>
      </c>
      <c r="O53" s="290">
        <f t="shared" si="7"/>
        <v>34.83333333</v>
      </c>
      <c r="P53" s="288">
        <v>1200000.0</v>
      </c>
      <c r="Q53" s="288">
        <f t="shared" si="8"/>
        <v>44600000</v>
      </c>
      <c r="R53" s="288">
        <f>VLOOKUP(A53,Data2023!B$6:F$23,5,0)</f>
        <v>677.5363636</v>
      </c>
      <c r="S53" s="288">
        <f t="shared" si="9"/>
        <v>159130707.3</v>
      </c>
      <c r="T53" s="291">
        <f t="shared" si="10"/>
        <v>384578040.6</v>
      </c>
      <c r="U53" s="288">
        <f t="shared" si="11"/>
        <v>1713.805885</v>
      </c>
      <c r="V53" s="292">
        <f t="shared" si="12"/>
        <v>17.13805885</v>
      </c>
      <c r="W53" s="293">
        <f t="shared" si="13"/>
        <v>16.66666667</v>
      </c>
      <c r="X53" s="294">
        <f t="shared" si="14"/>
        <v>188.5186474</v>
      </c>
      <c r="Y53" s="295">
        <v>1.0</v>
      </c>
    </row>
    <row r="54" ht="15.75" hidden="1" customHeight="1">
      <c r="A54" s="308" t="s">
        <v>211</v>
      </c>
      <c r="B54" s="315">
        <f t="shared" si="1"/>
        <v>1935.518151</v>
      </c>
      <c r="C54" s="283">
        <v>7.0</v>
      </c>
      <c r="D54" s="284">
        <v>0.0</v>
      </c>
      <c r="E54" s="284">
        <v>0.0</v>
      </c>
      <c r="F54" s="285">
        <v>1.02</v>
      </c>
      <c r="G54" s="284">
        <f t="shared" si="2"/>
        <v>229500</v>
      </c>
      <c r="H54" s="316">
        <f t="shared" si="18"/>
        <v>225000</v>
      </c>
      <c r="I54" s="314">
        <f t="shared" si="3"/>
        <v>1.04</v>
      </c>
      <c r="J54" s="288">
        <f t="shared" si="4"/>
        <v>5925</v>
      </c>
      <c r="K54" s="288">
        <f t="shared" si="5"/>
        <v>240162</v>
      </c>
      <c r="L54" s="288">
        <f t="shared" si="15"/>
        <v>770</v>
      </c>
      <c r="M54" s="288">
        <f t="shared" si="6"/>
        <v>184924740</v>
      </c>
      <c r="N54" s="289">
        <f t="shared" si="17"/>
        <v>2.333333333</v>
      </c>
      <c r="O54" s="290">
        <f t="shared" si="7"/>
        <v>35.625</v>
      </c>
      <c r="P54" s="288">
        <v>1200000.0</v>
      </c>
      <c r="Q54" s="288">
        <f t="shared" si="8"/>
        <v>45550000</v>
      </c>
      <c r="R54" s="288">
        <f>VLOOKUP(A54,Data2023!B$6:F$23,5,0)</f>
        <v>677.5363636</v>
      </c>
      <c r="S54" s="288">
        <f t="shared" si="9"/>
        <v>162718488.2</v>
      </c>
      <c r="T54" s="291">
        <f t="shared" si="10"/>
        <v>393193228.2</v>
      </c>
      <c r="U54" s="288">
        <f t="shared" si="11"/>
        <v>1713.260253</v>
      </c>
      <c r="V54" s="292">
        <f t="shared" si="12"/>
        <v>17.13260253</v>
      </c>
      <c r="W54" s="293">
        <f t="shared" si="13"/>
        <v>16.66666667</v>
      </c>
      <c r="X54" s="294">
        <f t="shared" si="14"/>
        <v>188.4586279</v>
      </c>
      <c r="Y54" s="295">
        <v>1.0</v>
      </c>
    </row>
    <row r="55" ht="15.75" hidden="1" customHeight="1">
      <c r="A55" s="308" t="s">
        <v>211</v>
      </c>
      <c r="B55" s="315">
        <f t="shared" si="1"/>
        <v>1934.933613</v>
      </c>
      <c r="C55" s="283">
        <v>7.0</v>
      </c>
      <c r="D55" s="284">
        <v>0.0</v>
      </c>
      <c r="E55" s="284">
        <v>0.0</v>
      </c>
      <c r="F55" s="285">
        <v>1.02</v>
      </c>
      <c r="G55" s="284">
        <f t="shared" si="2"/>
        <v>234600</v>
      </c>
      <c r="H55" s="316">
        <f t="shared" si="18"/>
        <v>230000</v>
      </c>
      <c r="I55" s="314">
        <f t="shared" si="3"/>
        <v>1.04</v>
      </c>
      <c r="J55" s="288">
        <f t="shared" si="4"/>
        <v>6016.666667</v>
      </c>
      <c r="K55" s="288">
        <f t="shared" si="5"/>
        <v>245457.3333</v>
      </c>
      <c r="L55" s="288">
        <f t="shared" si="15"/>
        <v>770</v>
      </c>
      <c r="M55" s="288">
        <f t="shared" si="6"/>
        <v>189002146.7</v>
      </c>
      <c r="N55" s="289">
        <f t="shared" si="17"/>
        <v>2.333333333</v>
      </c>
      <c r="O55" s="290">
        <f t="shared" si="7"/>
        <v>36.41666667</v>
      </c>
      <c r="P55" s="288">
        <v>1200000.0</v>
      </c>
      <c r="Q55" s="288">
        <f t="shared" si="8"/>
        <v>46500000</v>
      </c>
      <c r="R55" s="288">
        <f>VLOOKUP(A55,Data2023!B$6:F$23,5,0)</f>
        <v>677.5363636</v>
      </c>
      <c r="S55" s="288">
        <f t="shared" si="9"/>
        <v>166306269.1</v>
      </c>
      <c r="T55" s="291">
        <f t="shared" si="10"/>
        <v>401808415.7</v>
      </c>
      <c r="U55" s="288">
        <f t="shared" si="11"/>
        <v>1712.738345</v>
      </c>
      <c r="V55" s="292">
        <f t="shared" si="12"/>
        <v>17.12738345</v>
      </c>
      <c r="W55" s="293">
        <f t="shared" si="13"/>
        <v>16.66666667</v>
      </c>
      <c r="X55" s="294">
        <f t="shared" si="14"/>
        <v>188.4012179</v>
      </c>
      <c r="Y55" s="295">
        <v>1.0</v>
      </c>
    </row>
    <row r="56" ht="15.75" hidden="1" customHeight="1">
      <c r="A56" s="308" t="s">
        <v>211</v>
      </c>
      <c r="B56" s="315">
        <f t="shared" si="1"/>
        <v>1934.373949</v>
      </c>
      <c r="C56" s="283">
        <v>7.0</v>
      </c>
      <c r="D56" s="284">
        <v>0.0</v>
      </c>
      <c r="E56" s="284">
        <v>0.0</v>
      </c>
      <c r="F56" s="285">
        <v>1.02</v>
      </c>
      <c r="G56" s="284">
        <f t="shared" si="2"/>
        <v>239700</v>
      </c>
      <c r="H56" s="316">
        <f t="shared" si="18"/>
        <v>235000</v>
      </c>
      <c r="I56" s="314">
        <f t="shared" si="3"/>
        <v>1.04</v>
      </c>
      <c r="J56" s="288">
        <f t="shared" si="4"/>
        <v>6108.333333</v>
      </c>
      <c r="K56" s="288">
        <f t="shared" si="5"/>
        <v>250752.6667</v>
      </c>
      <c r="L56" s="288">
        <f t="shared" si="15"/>
        <v>770</v>
      </c>
      <c r="M56" s="288">
        <f t="shared" si="6"/>
        <v>193079553.3</v>
      </c>
      <c r="N56" s="289">
        <f t="shared" si="17"/>
        <v>2.333333333</v>
      </c>
      <c r="O56" s="290">
        <f t="shared" si="7"/>
        <v>37.20833333</v>
      </c>
      <c r="P56" s="288">
        <v>1200000.0</v>
      </c>
      <c r="Q56" s="288">
        <f t="shared" si="8"/>
        <v>47450000</v>
      </c>
      <c r="R56" s="288">
        <f>VLOOKUP(A56,Data2023!B$6:F$23,5,0)</f>
        <v>677.5363636</v>
      </c>
      <c r="S56" s="288">
        <f t="shared" si="9"/>
        <v>169894049.9</v>
      </c>
      <c r="T56" s="291">
        <f t="shared" si="10"/>
        <v>410423603.3</v>
      </c>
      <c r="U56" s="288">
        <f t="shared" si="11"/>
        <v>1712.238645</v>
      </c>
      <c r="V56" s="292">
        <f t="shared" si="12"/>
        <v>17.12238645</v>
      </c>
      <c r="W56" s="293">
        <f t="shared" si="13"/>
        <v>16.66666667</v>
      </c>
      <c r="X56" s="294">
        <f t="shared" si="14"/>
        <v>188.346251</v>
      </c>
      <c r="Y56" s="295">
        <v>1.0</v>
      </c>
    </row>
    <row r="57" ht="15.75" hidden="1" customHeight="1">
      <c r="A57" s="308" t="s">
        <v>211</v>
      </c>
      <c r="B57" s="315">
        <f t="shared" si="1"/>
        <v>1933.837605</v>
      </c>
      <c r="C57" s="283">
        <v>7.0</v>
      </c>
      <c r="D57" s="284">
        <v>0.0</v>
      </c>
      <c r="E57" s="284">
        <v>0.0</v>
      </c>
      <c r="F57" s="285">
        <v>1.02</v>
      </c>
      <c r="G57" s="284">
        <f t="shared" si="2"/>
        <v>244800</v>
      </c>
      <c r="H57" s="316">
        <f t="shared" si="18"/>
        <v>240000</v>
      </c>
      <c r="I57" s="314">
        <f t="shared" si="3"/>
        <v>1.04</v>
      </c>
      <c r="J57" s="288">
        <f t="shared" si="4"/>
        <v>6200</v>
      </c>
      <c r="K57" s="288">
        <f t="shared" si="5"/>
        <v>256048</v>
      </c>
      <c r="L57" s="288">
        <f t="shared" si="15"/>
        <v>770</v>
      </c>
      <c r="M57" s="288">
        <f t="shared" si="6"/>
        <v>197156960</v>
      </c>
      <c r="N57" s="289">
        <f t="shared" si="17"/>
        <v>2.333333333</v>
      </c>
      <c r="O57" s="290">
        <f t="shared" si="7"/>
        <v>38</v>
      </c>
      <c r="P57" s="288">
        <v>1200000.0</v>
      </c>
      <c r="Q57" s="288">
        <f t="shared" si="8"/>
        <v>48400000</v>
      </c>
      <c r="R57" s="288">
        <f>VLOOKUP(A57,Data2023!B$6:F$23,5,0)</f>
        <v>677.5363636</v>
      </c>
      <c r="S57" s="288">
        <f t="shared" si="9"/>
        <v>173481830.8</v>
      </c>
      <c r="T57" s="291">
        <f t="shared" si="10"/>
        <v>419038790.8</v>
      </c>
      <c r="U57" s="288">
        <f t="shared" si="11"/>
        <v>1711.759766</v>
      </c>
      <c r="V57" s="292">
        <f t="shared" si="12"/>
        <v>17.11759766</v>
      </c>
      <c r="W57" s="293">
        <f t="shared" si="13"/>
        <v>16.66666667</v>
      </c>
      <c r="X57" s="294">
        <f t="shared" si="14"/>
        <v>188.2935743</v>
      </c>
      <c r="Y57" s="295">
        <v>1.0</v>
      </c>
    </row>
    <row r="58" ht="15.75" hidden="1" customHeight="1">
      <c r="A58" s="308" t="s">
        <v>211</v>
      </c>
      <c r="B58" s="315">
        <f t="shared" si="1"/>
        <v>1933.323152</v>
      </c>
      <c r="C58" s="283">
        <v>7.0</v>
      </c>
      <c r="D58" s="284">
        <v>0.0</v>
      </c>
      <c r="E58" s="284">
        <v>0.0</v>
      </c>
      <c r="F58" s="285">
        <v>1.02</v>
      </c>
      <c r="G58" s="284">
        <f t="shared" si="2"/>
        <v>249900</v>
      </c>
      <c r="H58" s="316">
        <f t="shared" si="18"/>
        <v>245000</v>
      </c>
      <c r="I58" s="314">
        <f t="shared" si="3"/>
        <v>1.04</v>
      </c>
      <c r="J58" s="288">
        <f t="shared" si="4"/>
        <v>6291.666667</v>
      </c>
      <c r="K58" s="288">
        <f t="shared" si="5"/>
        <v>261343.3333</v>
      </c>
      <c r="L58" s="288">
        <f t="shared" si="15"/>
        <v>770</v>
      </c>
      <c r="M58" s="288">
        <f t="shared" si="6"/>
        <v>201234366.7</v>
      </c>
      <c r="N58" s="289">
        <f t="shared" si="17"/>
        <v>2.333333333</v>
      </c>
      <c r="O58" s="290">
        <f t="shared" si="7"/>
        <v>38.79166667</v>
      </c>
      <c r="P58" s="288">
        <v>1200000.0</v>
      </c>
      <c r="Q58" s="288">
        <f t="shared" si="8"/>
        <v>49350000</v>
      </c>
      <c r="R58" s="288">
        <f>VLOOKUP(A58,Data2023!B$6:F$23,5,0)</f>
        <v>677.5363636</v>
      </c>
      <c r="S58" s="288">
        <f t="shared" si="9"/>
        <v>177069611.7</v>
      </c>
      <c r="T58" s="291">
        <f t="shared" si="10"/>
        <v>427653978.4</v>
      </c>
      <c r="U58" s="288">
        <f t="shared" si="11"/>
        <v>1711.300434</v>
      </c>
      <c r="V58" s="292">
        <f t="shared" si="12"/>
        <v>17.11300434</v>
      </c>
      <c r="W58" s="293">
        <f t="shared" si="13"/>
        <v>16.66666667</v>
      </c>
      <c r="X58" s="294">
        <f t="shared" si="14"/>
        <v>188.2430477</v>
      </c>
      <c r="Y58" s="295">
        <v>1.0</v>
      </c>
    </row>
    <row r="59" ht="15.75" hidden="1" customHeight="1">
      <c r="A59" s="308" t="s">
        <v>211</v>
      </c>
      <c r="B59" s="315">
        <f t="shared" si="1"/>
        <v>1932.829278</v>
      </c>
      <c r="C59" s="283">
        <v>7.0</v>
      </c>
      <c r="D59" s="284">
        <v>0.0</v>
      </c>
      <c r="E59" s="284">
        <v>0.0</v>
      </c>
      <c r="F59" s="285">
        <v>1.02</v>
      </c>
      <c r="G59" s="284">
        <f t="shared" si="2"/>
        <v>255000</v>
      </c>
      <c r="H59" s="316">
        <f t="shared" si="18"/>
        <v>250000</v>
      </c>
      <c r="I59" s="314">
        <f t="shared" si="3"/>
        <v>1.04</v>
      </c>
      <c r="J59" s="288">
        <f t="shared" si="4"/>
        <v>6383.333333</v>
      </c>
      <c r="K59" s="288">
        <f t="shared" si="5"/>
        <v>266638.6667</v>
      </c>
      <c r="L59" s="288">
        <f t="shared" si="15"/>
        <v>770</v>
      </c>
      <c r="M59" s="288">
        <f t="shared" si="6"/>
        <v>205311773.3</v>
      </c>
      <c r="N59" s="289">
        <f t="shared" si="17"/>
        <v>2.333333333</v>
      </c>
      <c r="O59" s="290">
        <f t="shared" si="7"/>
        <v>39.58333333</v>
      </c>
      <c r="P59" s="288">
        <v>1200000.0</v>
      </c>
      <c r="Q59" s="288">
        <f t="shared" si="8"/>
        <v>50300000</v>
      </c>
      <c r="R59" s="288">
        <f>VLOOKUP(A59,Data2023!B$6:F$23,5,0)</f>
        <v>677.5363636</v>
      </c>
      <c r="S59" s="288">
        <f t="shared" si="9"/>
        <v>180657392.6</v>
      </c>
      <c r="T59" s="291">
        <f t="shared" si="10"/>
        <v>436269166</v>
      </c>
      <c r="U59" s="288">
        <f t="shared" si="11"/>
        <v>1710.859474</v>
      </c>
      <c r="V59" s="292">
        <f t="shared" si="12"/>
        <v>17.10859474</v>
      </c>
      <c r="W59" s="293">
        <f t="shared" si="13"/>
        <v>16.66666667</v>
      </c>
      <c r="X59" s="294">
        <f t="shared" si="14"/>
        <v>188.1945422</v>
      </c>
      <c r="Y59" s="295">
        <v>1.0</v>
      </c>
    </row>
    <row r="60" ht="15.75" hidden="1" customHeight="1">
      <c r="A60" s="308" t="s">
        <v>211</v>
      </c>
      <c r="B60" s="317">
        <f t="shared" si="1"/>
        <v>1932.354771</v>
      </c>
      <c r="C60" s="318">
        <v>7.0</v>
      </c>
      <c r="D60" s="319">
        <v>0.0</v>
      </c>
      <c r="E60" s="319">
        <v>0.0</v>
      </c>
      <c r="F60" s="320">
        <v>1.02</v>
      </c>
      <c r="G60" s="319">
        <f t="shared" si="2"/>
        <v>260100</v>
      </c>
      <c r="H60" s="321">
        <v>255000.0</v>
      </c>
      <c r="I60" s="314">
        <f t="shared" si="3"/>
        <v>1.04</v>
      </c>
      <c r="J60" s="288">
        <f t="shared" si="4"/>
        <v>6475</v>
      </c>
      <c r="K60" s="288">
        <f t="shared" si="5"/>
        <v>271934</v>
      </c>
      <c r="L60" s="288">
        <f t="shared" si="15"/>
        <v>770</v>
      </c>
      <c r="M60" s="288">
        <f t="shared" si="6"/>
        <v>209389180</v>
      </c>
      <c r="N60" s="289">
        <f t="shared" si="17"/>
        <v>2.333333333</v>
      </c>
      <c r="O60" s="290">
        <f t="shared" si="7"/>
        <v>40.375</v>
      </c>
      <c r="P60" s="288">
        <v>1200000.0</v>
      </c>
      <c r="Q60" s="288">
        <f t="shared" si="8"/>
        <v>51250000</v>
      </c>
      <c r="R60" s="288">
        <f>VLOOKUP(A60,Data2023!B$6:F$23,5,0)</f>
        <v>677.5363636</v>
      </c>
      <c r="S60" s="288">
        <f t="shared" si="9"/>
        <v>184245173.5</v>
      </c>
      <c r="T60" s="291">
        <f t="shared" si="10"/>
        <v>444884353.5</v>
      </c>
      <c r="U60" s="288">
        <f t="shared" si="11"/>
        <v>1710.435807</v>
      </c>
      <c r="V60" s="292">
        <f t="shared" si="12"/>
        <v>17.10435807</v>
      </c>
      <c r="W60" s="293">
        <f t="shared" si="13"/>
        <v>16.66666667</v>
      </c>
      <c r="X60" s="294">
        <f t="shared" si="14"/>
        <v>188.1479388</v>
      </c>
      <c r="Y60" s="295">
        <v>1.0</v>
      </c>
    </row>
    <row r="61" ht="15.75" hidden="1" customHeight="1">
      <c r="A61" s="308" t="s">
        <v>211</v>
      </c>
      <c r="B61" s="322">
        <f t="shared" si="1"/>
        <v>1931.898514</v>
      </c>
      <c r="C61" s="323">
        <v>7.0</v>
      </c>
      <c r="D61" s="324">
        <v>0.0</v>
      </c>
      <c r="E61" s="324">
        <v>0.0</v>
      </c>
      <c r="F61" s="325">
        <v>1.02</v>
      </c>
      <c r="G61" s="324">
        <f t="shared" si="2"/>
        <v>265200</v>
      </c>
      <c r="H61" s="326">
        <f t="shared" ref="H61:H67" si="19">H60+5000</f>
        <v>260000</v>
      </c>
      <c r="I61" s="314">
        <f t="shared" si="3"/>
        <v>1.04</v>
      </c>
      <c r="J61" s="288">
        <f t="shared" si="4"/>
        <v>6566.666667</v>
      </c>
      <c r="K61" s="288">
        <f t="shared" si="5"/>
        <v>277229.3333</v>
      </c>
      <c r="L61" s="288">
        <f t="shared" si="15"/>
        <v>770</v>
      </c>
      <c r="M61" s="288">
        <f t="shared" si="6"/>
        <v>213466586.7</v>
      </c>
      <c r="N61" s="289">
        <f t="shared" si="17"/>
        <v>2.333333333</v>
      </c>
      <c r="O61" s="290">
        <f t="shared" si="7"/>
        <v>41.16666667</v>
      </c>
      <c r="P61" s="288">
        <v>1200000.0</v>
      </c>
      <c r="Q61" s="288">
        <f t="shared" si="8"/>
        <v>52200000</v>
      </c>
      <c r="R61" s="288">
        <f>VLOOKUP(A61,Data2023!B$6:F$23,5,0)</f>
        <v>677.5363636</v>
      </c>
      <c r="S61" s="288">
        <f t="shared" si="9"/>
        <v>187832954.4</v>
      </c>
      <c r="T61" s="291">
        <f t="shared" si="10"/>
        <v>453499541.1</v>
      </c>
      <c r="U61" s="288">
        <f t="shared" si="11"/>
        <v>1710.028435</v>
      </c>
      <c r="V61" s="292">
        <f t="shared" si="12"/>
        <v>17.10028435</v>
      </c>
      <c r="W61" s="293">
        <f t="shared" si="13"/>
        <v>16.66666667</v>
      </c>
      <c r="X61" s="294">
        <f t="shared" si="14"/>
        <v>188.1031279</v>
      </c>
      <c r="Y61" s="295">
        <v>1.0</v>
      </c>
    </row>
    <row r="62" ht="15.75" hidden="1" customHeight="1">
      <c r="A62" s="308" t="s">
        <v>211</v>
      </c>
      <c r="B62" s="327">
        <f t="shared" si="1"/>
        <v>1931.459475</v>
      </c>
      <c r="C62" s="283">
        <v>7.0</v>
      </c>
      <c r="D62" s="284">
        <v>0.0</v>
      </c>
      <c r="E62" s="284">
        <v>0.0</v>
      </c>
      <c r="F62" s="285">
        <v>1.02</v>
      </c>
      <c r="G62" s="284">
        <f t="shared" si="2"/>
        <v>270300</v>
      </c>
      <c r="H62" s="328">
        <f t="shared" si="19"/>
        <v>265000</v>
      </c>
      <c r="I62" s="314">
        <f t="shared" si="3"/>
        <v>1.04</v>
      </c>
      <c r="J62" s="288">
        <f t="shared" si="4"/>
        <v>6658.333333</v>
      </c>
      <c r="K62" s="288">
        <f t="shared" si="5"/>
        <v>282524.6667</v>
      </c>
      <c r="L62" s="288">
        <f t="shared" si="15"/>
        <v>770</v>
      </c>
      <c r="M62" s="288">
        <f t="shared" si="6"/>
        <v>217543993.3</v>
      </c>
      <c r="N62" s="289">
        <f t="shared" si="17"/>
        <v>2.333333333</v>
      </c>
      <c r="O62" s="290">
        <f t="shared" si="7"/>
        <v>41.95833333</v>
      </c>
      <c r="P62" s="288">
        <v>1200000.0</v>
      </c>
      <c r="Q62" s="288">
        <f t="shared" si="8"/>
        <v>53150000</v>
      </c>
      <c r="R62" s="288">
        <f>VLOOKUP(A62,Data2023!B$6:F$23,5,0)</f>
        <v>677.5363636</v>
      </c>
      <c r="S62" s="288">
        <f t="shared" si="9"/>
        <v>191420735.3</v>
      </c>
      <c r="T62" s="291">
        <f t="shared" si="10"/>
        <v>462114728.6</v>
      </c>
      <c r="U62" s="288">
        <f t="shared" si="11"/>
        <v>1709.636436</v>
      </c>
      <c r="V62" s="292">
        <f t="shared" si="12"/>
        <v>17.09636436</v>
      </c>
      <c r="W62" s="293">
        <f t="shared" si="13"/>
        <v>16.66666667</v>
      </c>
      <c r="X62" s="294">
        <f t="shared" si="14"/>
        <v>188.0600079</v>
      </c>
      <c r="Y62" s="295">
        <v>1.0</v>
      </c>
    </row>
    <row r="63" ht="15.75" hidden="1" customHeight="1">
      <c r="A63" s="308" t="s">
        <v>211</v>
      </c>
      <c r="B63" s="327">
        <f t="shared" si="1"/>
        <v>1931.036696</v>
      </c>
      <c r="C63" s="283">
        <v>7.0</v>
      </c>
      <c r="D63" s="284">
        <v>0.0</v>
      </c>
      <c r="E63" s="284">
        <v>0.0</v>
      </c>
      <c r="F63" s="285">
        <v>1.02</v>
      </c>
      <c r="G63" s="284">
        <f t="shared" si="2"/>
        <v>275400</v>
      </c>
      <c r="H63" s="328">
        <f t="shared" si="19"/>
        <v>270000</v>
      </c>
      <c r="I63" s="314">
        <f t="shared" si="3"/>
        <v>1.04</v>
      </c>
      <c r="J63" s="288">
        <f t="shared" si="4"/>
        <v>6750</v>
      </c>
      <c r="K63" s="288">
        <f t="shared" si="5"/>
        <v>287820</v>
      </c>
      <c r="L63" s="288">
        <f t="shared" si="15"/>
        <v>770</v>
      </c>
      <c r="M63" s="288">
        <f t="shared" si="6"/>
        <v>221621400</v>
      </c>
      <c r="N63" s="289">
        <f t="shared" si="17"/>
        <v>2.333333333</v>
      </c>
      <c r="O63" s="290">
        <f t="shared" si="7"/>
        <v>42.75</v>
      </c>
      <c r="P63" s="288">
        <v>1200000.0</v>
      </c>
      <c r="Q63" s="288">
        <f t="shared" si="8"/>
        <v>54100000</v>
      </c>
      <c r="R63" s="288">
        <f>VLOOKUP(A63,Data2023!B$6:F$23,5,0)</f>
        <v>677.5363636</v>
      </c>
      <c r="S63" s="288">
        <f t="shared" si="9"/>
        <v>195008516.2</v>
      </c>
      <c r="T63" s="291">
        <f t="shared" si="10"/>
        <v>470729916.2</v>
      </c>
      <c r="U63" s="288">
        <f t="shared" si="11"/>
        <v>1709.258955</v>
      </c>
      <c r="V63" s="292">
        <f t="shared" si="12"/>
        <v>17.09258955</v>
      </c>
      <c r="W63" s="293">
        <f t="shared" si="13"/>
        <v>16.66666667</v>
      </c>
      <c r="X63" s="294">
        <f t="shared" si="14"/>
        <v>188.018485</v>
      </c>
      <c r="Y63" s="295">
        <v>1.0</v>
      </c>
    </row>
    <row r="64" ht="15.75" hidden="1" customHeight="1">
      <c r="A64" s="308" t="s">
        <v>211</v>
      </c>
      <c r="B64" s="327">
        <f t="shared" si="1"/>
        <v>1930.629291</v>
      </c>
      <c r="C64" s="283">
        <v>7.0</v>
      </c>
      <c r="D64" s="284">
        <v>0.0</v>
      </c>
      <c r="E64" s="284">
        <v>0.0</v>
      </c>
      <c r="F64" s="285">
        <v>1.02</v>
      </c>
      <c r="G64" s="284">
        <f t="shared" si="2"/>
        <v>280500</v>
      </c>
      <c r="H64" s="328">
        <f t="shared" si="19"/>
        <v>275000</v>
      </c>
      <c r="I64" s="314">
        <f t="shared" si="3"/>
        <v>1.04</v>
      </c>
      <c r="J64" s="288">
        <f t="shared" si="4"/>
        <v>6841.666667</v>
      </c>
      <c r="K64" s="288">
        <f t="shared" si="5"/>
        <v>293115.3333</v>
      </c>
      <c r="L64" s="288">
        <f t="shared" si="15"/>
        <v>770</v>
      </c>
      <c r="M64" s="288">
        <f t="shared" si="6"/>
        <v>225698806.7</v>
      </c>
      <c r="N64" s="289">
        <f t="shared" si="17"/>
        <v>2.333333333</v>
      </c>
      <c r="O64" s="290">
        <f t="shared" si="7"/>
        <v>43.54166667</v>
      </c>
      <c r="P64" s="288">
        <v>1200000.0</v>
      </c>
      <c r="Q64" s="288">
        <f t="shared" si="8"/>
        <v>55050000</v>
      </c>
      <c r="R64" s="288">
        <f>VLOOKUP(A64,Data2023!B$6:F$23,5,0)</f>
        <v>677.5363636</v>
      </c>
      <c r="S64" s="288">
        <f t="shared" si="9"/>
        <v>198596297.1</v>
      </c>
      <c r="T64" s="291">
        <f t="shared" si="10"/>
        <v>479345103.7</v>
      </c>
      <c r="U64" s="288">
        <f t="shared" si="11"/>
        <v>1708.8952</v>
      </c>
      <c r="V64" s="292">
        <f t="shared" si="12"/>
        <v>17.088952</v>
      </c>
      <c r="W64" s="293">
        <f t="shared" si="13"/>
        <v>16.66666667</v>
      </c>
      <c r="X64" s="294">
        <f t="shared" si="14"/>
        <v>187.9784721</v>
      </c>
      <c r="Y64" s="295">
        <v>1.0</v>
      </c>
    </row>
    <row r="65" ht="15.75" hidden="1" customHeight="1">
      <c r="A65" s="308" t="s">
        <v>211</v>
      </c>
      <c r="B65" s="327">
        <f t="shared" si="1"/>
        <v>1930.236436</v>
      </c>
      <c r="C65" s="283">
        <v>7.0</v>
      </c>
      <c r="D65" s="284">
        <v>0.0</v>
      </c>
      <c r="E65" s="284">
        <v>0.0</v>
      </c>
      <c r="F65" s="285">
        <v>1.02</v>
      </c>
      <c r="G65" s="284">
        <f t="shared" si="2"/>
        <v>285600</v>
      </c>
      <c r="H65" s="328">
        <f t="shared" si="19"/>
        <v>280000</v>
      </c>
      <c r="I65" s="314">
        <f t="shared" si="3"/>
        <v>1.04</v>
      </c>
      <c r="J65" s="288">
        <f t="shared" si="4"/>
        <v>6933.333333</v>
      </c>
      <c r="K65" s="288">
        <f t="shared" si="5"/>
        <v>298410.6667</v>
      </c>
      <c r="L65" s="288">
        <f t="shared" si="15"/>
        <v>770</v>
      </c>
      <c r="M65" s="288">
        <f t="shared" si="6"/>
        <v>229776213.3</v>
      </c>
      <c r="N65" s="289">
        <f t="shared" si="17"/>
        <v>2.333333333</v>
      </c>
      <c r="O65" s="290">
        <f t="shared" si="7"/>
        <v>44.33333333</v>
      </c>
      <c r="P65" s="288">
        <v>1200000.0</v>
      </c>
      <c r="Q65" s="288">
        <f t="shared" si="8"/>
        <v>56000000</v>
      </c>
      <c r="R65" s="288">
        <f>VLOOKUP(A65,Data2023!B$6:F$23,5,0)</f>
        <v>677.5363636</v>
      </c>
      <c r="S65" s="288">
        <f t="shared" si="9"/>
        <v>202184078</v>
      </c>
      <c r="T65" s="291">
        <f t="shared" si="10"/>
        <v>487960291.3</v>
      </c>
      <c r="U65" s="288">
        <f t="shared" si="11"/>
        <v>1708.544437</v>
      </c>
      <c r="V65" s="292">
        <f t="shared" si="12"/>
        <v>17.08544437</v>
      </c>
      <c r="W65" s="293">
        <f t="shared" si="13"/>
        <v>16.66666667</v>
      </c>
      <c r="X65" s="294">
        <f t="shared" si="14"/>
        <v>187.9398881</v>
      </c>
      <c r="Y65" s="295">
        <v>1.0</v>
      </c>
    </row>
    <row r="66" ht="15.75" hidden="1" customHeight="1">
      <c r="A66" s="308" t="s">
        <v>211</v>
      </c>
      <c r="B66" s="327">
        <f t="shared" si="1"/>
        <v>1929.857366</v>
      </c>
      <c r="C66" s="283">
        <v>7.0</v>
      </c>
      <c r="D66" s="284">
        <v>0.0</v>
      </c>
      <c r="E66" s="284">
        <v>0.0</v>
      </c>
      <c r="F66" s="285">
        <v>1.02</v>
      </c>
      <c r="G66" s="284">
        <f t="shared" si="2"/>
        <v>290700</v>
      </c>
      <c r="H66" s="328">
        <f t="shared" si="19"/>
        <v>285000</v>
      </c>
      <c r="I66" s="314">
        <f t="shared" si="3"/>
        <v>1.04</v>
      </c>
      <c r="J66" s="288">
        <f t="shared" si="4"/>
        <v>7025</v>
      </c>
      <c r="K66" s="288">
        <f t="shared" si="5"/>
        <v>303706</v>
      </c>
      <c r="L66" s="288">
        <f t="shared" si="15"/>
        <v>770</v>
      </c>
      <c r="M66" s="288">
        <f t="shared" si="6"/>
        <v>233853620</v>
      </c>
      <c r="N66" s="289">
        <f t="shared" si="17"/>
        <v>2.333333333</v>
      </c>
      <c r="O66" s="290">
        <f t="shared" si="7"/>
        <v>45.125</v>
      </c>
      <c r="P66" s="288">
        <v>1200000.0</v>
      </c>
      <c r="Q66" s="288">
        <f t="shared" si="8"/>
        <v>56950000</v>
      </c>
      <c r="R66" s="288">
        <f>VLOOKUP(A66,Data2023!B$6:F$23,5,0)</f>
        <v>677.5363636</v>
      </c>
      <c r="S66" s="288">
        <f t="shared" si="9"/>
        <v>205771858.9</v>
      </c>
      <c r="T66" s="291">
        <f t="shared" si="10"/>
        <v>496575478.9</v>
      </c>
      <c r="U66" s="288">
        <f t="shared" si="11"/>
        <v>1708.205982</v>
      </c>
      <c r="V66" s="292">
        <f t="shared" si="12"/>
        <v>17.08205982</v>
      </c>
      <c r="W66" s="293">
        <f t="shared" si="13"/>
        <v>16.66666667</v>
      </c>
      <c r="X66" s="294">
        <f t="shared" si="14"/>
        <v>187.902658</v>
      </c>
      <c r="Y66" s="295">
        <v>1.0</v>
      </c>
    </row>
    <row r="67" ht="15.75" hidden="1" customHeight="1">
      <c r="A67" s="308" t="s">
        <v>211</v>
      </c>
      <c r="B67" s="327">
        <f t="shared" si="1"/>
        <v>1929.491367</v>
      </c>
      <c r="C67" s="283">
        <v>7.0</v>
      </c>
      <c r="D67" s="284">
        <v>0.0</v>
      </c>
      <c r="E67" s="284">
        <v>0.0</v>
      </c>
      <c r="F67" s="285">
        <v>1.02</v>
      </c>
      <c r="G67" s="284">
        <f t="shared" si="2"/>
        <v>295800</v>
      </c>
      <c r="H67" s="328">
        <f t="shared" si="19"/>
        <v>290000</v>
      </c>
      <c r="I67" s="314">
        <f t="shared" si="3"/>
        <v>1.04</v>
      </c>
      <c r="J67" s="288">
        <f t="shared" si="4"/>
        <v>7116.666667</v>
      </c>
      <c r="K67" s="288">
        <f t="shared" si="5"/>
        <v>309001.3333</v>
      </c>
      <c r="L67" s="288">
        <f t="shared" si="15"/>
        <v>770</v>
      </c>
      <c r="M67" s="288">
        <f t="shared" si="6"/>
        <v>237931026.7</v>
      </c>
      <c r="N67" s="289">
        <f t="shared" si="17"/>
        <v>2.333333333</v>
      </c>
      <c r="O67" s="290">
        <f t="shared" si="7"/>
        <v>45.91666667</v>
      </c>
      <c r="P67" s="288">
        <v>1200000.0</v>
      </c>
      <c r="Q67" s="288">
        <f t="shared" si="8"/>
        <v>57900000</v>
      </c>
      <c r="R67" s="288">
        <f>VLOOKUP(A67,Data2023!B$6:F$23,5,0)</f>
        <v>677.5363636</v>
      </c>
      <c r="S67" s="288">
        <f t="shared" si="9"/>
        <v>209359639.7</v>
      </c>
      <c r="T67" s="291">
        <f t="shared" si="10"/>
        <v>505190666.4</v>
      </c>
      <c r="U67" s="288">
        <f t="shared" si="11"/>
        <v>1707.879197</v>
      </c>
      <c r="V67" s="292">
        <f t="shared" si="12"/>
        <v>17.07879197</v>
      </c>
      <c r="W67" s="293">
        <f t="shared" si="13"/>
        <v>16.66666667</v>
      </c>
      <c r="X67" s="294">
        <f t="shared" si="14"/>
        <v>187.8667116</v>
      </c>
      <c r="Y67" s="295">
        <v>1.0</v>
      </c>
    </row>
    <row r="68" ht="15.75" customHeight="1">
      <c r="A68" s="308" t="s">
        <v>211</v>
      </c>
      <c r="B68" s="329">
        <f t="shared" si="1"/>
        <v>3070.382021</v>
      </c>
      <c r="C68" s="330">
        <v>4.0</v>
      </c>
      <c r="D68" s="331">
        <v>0.0</v>
      </c>
      <c r="E68" s="331">
        <v>0.0</v>
      </c>
      <c r="F68" s="332">
        <v>0.8</v>
      </c>
      <c r="G68" s="333">
        <f t="shared" si="2"/>
        <v>2400</v>
      </c>
      <c r="H68" s="328">
        <v>3000.0</v>
      </c>
      <c r="I68" s="314">
        <f t="shared" si="3"/>
        <v>0.82</v>
      </c>
      <c r="J68" s="288">
        <f t="shared" si="4"/>
        <v>925</v>
      </c>
      <c r="K68" s="288">
        <f t="shared" si="5"/>
        <v>3218.5</v>
      </c>
      <c r="L68" s="288">
        <f t="shared" si="15"/>
        <v>440</v>
      </c>
      <c r="M68" s="288">
        <f t="shared" si="6"/>
        <v>1416140</v>
      </c>
      <c r="N68" s="289">
        <f t="shared" si="17"/>
        <v>1.333333333</v>
      </c>
      <c r="O68" s="290">
        <f t="shared" si="7"/>
        <v>0.4</v>
      </c>
      <c r="P68" s="288">
        <v>1200000.0</v>
      </c>
      <c r="Q68" s="288">
        <f t="shared" si="8"/>
        <v>2080000</v>
      </c>
      <c r="R68" s="288">
        <f>VLOOKUP(A68,Data2023!B$6:F$23,5,0)</f>
        <v>677.5363636</v>
      </c>
      <c r="S68" s="288">
        <f t="shared" si="9"/>
        <v>2180650.786</v>
      </c>
      <c r="T68" s="291">
        <f t="shared" si="10"/>
        <v>5676790.786</v>
      </c>
      <c r="U68" s="288">
        <f t="shared" si="11"/>
        <v>2365.329494</v>
      </c>
      <c r="V68" s="292">
        <f t="shared" si="12"/>
        <v>23.65329494</v>
      </c>
      <c r="W68" s="293">
        <f t="shared" si="13"/>
        <v>208.3333333</v>
      </c>
      <c r="X68" s="294">
        <f t="shared" ref="X68:X81" si="21">IF(C68&lt;2,U68*17%,IF(C68&lt;3,U68*16%,IF(C68&lt;4,U68*20%,IF(C68&lt;5,U68*20%,IF(C68&lt;6,U68*13%,IF(C68&lt;7,U68*12%,U68*11%))))))</f>
        <v>473.0658989</v>
      </c>
      <c r="Y68" s="295">
        <v>1.0</v>
      </c>
    </row>
    <row r="69" ht="15.75" customHeight="1">
      <c r="A69" s="308" t="s">
        <v>211</v>
      </c>
      <c r="B69" s="329">
        <f t="shared" si="1"/>
        <v>2498.059084</v>
      </c>
      <c r="C69" s="330">
        <f t="shared" ref="C69:F69" si="20">C68</f>
        <v>4</v>
      </c>
      <c r="D69" s="331">
        <f t="shared" si="20"/>
        <v>0</v>
      </c>
      <c r="E69" s="331">
        <f t="shared" si="20"/>
        <v>0</v>
      </c>
      <c r="F69" s="332">
        <f t="shared" si="20"/>
        <v>0.8</v>
      </c>
      <c r="G69" s="333">
        <f t="shared" si="2"/>
        <v>4000</v>
      </c>
      <c r="H69" s="328">
        <v>5000.0</v>
      </c>
      <c r="I69" s="314">
        <f t="shared" si="3"/>
        <v>0.82</v>
      </c>
      <c r="J69" s="288">
        <f t="shared" si="4"/>
        <v>941.6666667</v>
      </c>
      <c r="K69" s="288">
        <f t="shared" si="5"/>
        <v>4872.166667</v>
      </c>
      <c r="L69" s="288">
        <f t="shared" si="15"/>
        <v>440</v>
      </c>
      <c r="M69" s="288">
        <f t="shared" si="6"/>
        <v>2143753.333</v>
      </c>
      <c r="N69" s="289">
        <f t="shared" si="17"/>
        <v>1.333333333</v>
      </c>
      <c r="O69" s="290">
        <f t="shared" si="7"/>
        <v>0.6666666667</v>
      </c>
      <c r="P69" s="288">
        <v>1200000.0</v>
      </c>
      <c r="Q69" s="288">
        <f t="shared" si="8"/>
        <v>2400000</v>
      </c>
      <c r="R69" s="288">
        <f>VLOOKUP(A69,Data2023!B$6:F$23,5,0)</f>
        <v>677.5363636</v>
      </c>
      <c r="S69" s="288">
        <f t="shared" si="9"/>
        <v>3301070.086</v>
      </c>
      <c r="T69" s="291">
        <f t="shared" si="10"/>
        <v>7844823.42</v>
      </c>
      <c r="U69" s="288">
        <f t="shared" si="11"/>
        <v>1961.205855</v>
      </c>
      <c r="V69" s="292">
        <f t="shared" si="12"/>
        <v>19.61205855</v>
      </c>
      <c r="W69" s="293">
        <f t="shared" si="13"/>
        <v>125</v>
      </c>
      <c r="X69" s="294">
        <f t="shared" si="21"/>
        <v>392.241171</v>
      </c>
      <c r="Y69" s="295">
        <v>1.0</v>
      </c>
    </row>
    <row r="70" ht="15.75" customHeight="1">
      <c r="A70" s="308" t="s">
        <v>211</v>
      </c>
      <c r="B70" s="329">
        <f t="shared" si="1"/>
        <v>2176.127432</v>
      </c>
      <c r="C70" s="330">
        <f t="shared" ref="C70:F70" si="22">C69</f>
        <v>4</v>
      </c>
      <c r="D70" s="331">
        <f t="shared" si="22"/>
        <v>0</v>
      </c>
      <c r="E70" s="331">
        <f t="shared" si="22"/>
        <v>0</v>
      </c>
      <c r="F70" s="332">
        <f t="shared" si="22"/>
        <v>0.8</v>
      </c>
      <c r="G70" s="333">
        <f t="shared" si="2"/>
        <v>6400</v>
      </c>
      <c r="H70" s="328">
        <v>8000.0</v>
      </c>
      <c r="I70" s="314">
        <f t="shared" si="3"/>
        <v>0.82</v>
      </c>
      <c r="J70" s="288">
        <f t="shared" si="4"/>
        <v>966.6666667</v>
      </c>
      <c r="K70" s="288">
        <f t="shared" si="5"/>
        <v>7352.666667</v>
      </c>
      <c r="L70" s="288">
        <f t="shared" si="15"/>
        <v>440</v>
      </c>
      <c r="M70" s="288">
        <f t="shared" si="6"/>
        <v>3235173.333</v>
      </c>
      <c r="N70" s="289">
        <f t="shared" si="17"/>
        <v>1.333333333</v>
      </c>
      <c r="O70" s="290">
        <f t="shared" si="7"/>
        <v>1.066666667</v>
      </c>
      <c r="P70" s="288">
        <v>1200000.0</v>
      </c>
      <c r="Q70" s="288">
        <f t="shared" si="8"/>
        <v>2880000</v>
      </c>
      <c r="R70" s="288">
        <f>VLOOKUP(A70,Data2023!B$6:F$23,5,0)</f>
        <v>677.5363636</v>
      </c>
      <c r="S70" s="288">
        <f t="shared" si="9"/>
        <v>4981699.036</v>
      </c>
      <c r="T70" s="291">
        <f t="shared" si="10"/>
        <v>11096872.37</v>
      </c>
      <c r="U70" s="288">
        <f t="shared" si="11"/>
        <v>1733.886308</v>
      </c>
      <c r="V70" s="292">
        <f t="shared" si="12"/>
        <v>17.33886308</v>
      </c>
      <c r="W70" s="293">
        <f t="shared" si="13"/>
        <v>78.125</v>
      </c>
      <c r="X70" s="294">
        <f t="shared" si="21"/>
        <v>346.7772616</v>
      </c>
      <c r="Y70" s="295">
        <v>1.0</v>
      </c>
    </row>
    <row r="71" ht="15.75" customHeight="1">
      <c r="A71" s="308" t="s">
        <v>211</v>
      </c>
      <c r="B71" s="334">
        <f t="shared" si="1"/>
        <v>2029.794863</v>
      </c>
      <c r="C71" s="330">
        <f t="shared" ref="C71:F71" si="23">C70</f>
        <v>4</v>
      </c>
      <c r="D71" s="331">
        <f t="shared" si="23"/>
        <v>0</v>
      </c>
      <c r="E71" s="331">
        <f t="shared" si="23"/>
        <v>0</v>
      </c>
      <c r="F71" s="332">
        <f t="shared" si="23"/>
        <v>0.8</v>
      </c>
      <c r="G71" s="335">
        <f t="shared" si="2"/>
        <v>8800</v>
      </c>
      <c r="H71" s="336">
        <v>11000.0</v>
      </c>
      <c r="I71" s="314">
        <f t="shared" si="3"/>
        <v>0.82</v>
      </c>
      <c r="J71" s="288">
        <f t="shared" si="4"/>
        <v>991.6666667</v>
      </c>
      <c r="K71" s="288">
        <f t="shared" si="5"/>
        <v>9833.166667</v>
      </c>
      <c r="L71" s="288">
        <f t="shared" si="15"/>
        <v>440</v>
      </c>
      <c r="M71" s="288">
        <f t="shared" si="6"/>
        <v>4326593.333</v>
      </c>
      <c r="N71" s="289">
        <f t="shared" si="17"/>
        <v>1.333333333</v>
      </c>
      <c r="O71" s="290">
        <f t="shared" si="7"/>
        <v>1.466666667</v>
      </c>
      <c r="P71" s="288">
        <v>1200000.0</v>
      </c>
      <c r="Q71" s="288">
        <f t="shared" si="8"/>
        <v>3360000</v>
      </c>
      <c r="R71" s="288">
        <f>VLOOKUP(A71,Data2023!B$6:F$23,5,0)</f>
        <v>677.5363636</v>
      </c>
      <c r="S71" s="288">
        <f t="shared" si="9"/>
        <v>6662327.986</v>
      </c>
      <c r="T71" s="291">
        <f t="shared" si="10"/>
        <v>14348921.32</v>
      </c>
      <c r="U71" s="288">
        <f t="shared" si="11"/>
        <v>1630.559241</v>
      </c>
      <c r="V71" s="292">
        <f t="shared" si="12"/>
        <v>16.30559241</v>
      </c>
      <c r="W71" s="293">
        <f t="shared" si="13"/>
        <v>56.81818182</v>
      </c>
      <c r="X71" s="294">
        <f t="shared" si="21"/>
        <v>326.1118482</v>
      </c>
      <c r="Y71" s="295">
        <v>1.0</v>
      </c>
    </row>
    <row r="72" ht="15.75" customHeight="1">
      <c r="A72" s="308" t="s">
        <v>211</v>
      </c>
      <c r="B72" s="334">
        <f t="shared" si="1"/>
        <v>1854.19578</v>
      </c>
      <c r="C72" s="330">
        <f t="shared" ref="C72:F72" si="24">C71</f>
        <v>4</v>
      </c>
      <c r="D72" s="331">
        <f t="shared" si="24"/>
        <v>0</v>
      </c>
      <c r="E72" s="331">
        <f t="shared" si="24"/>
        <v>0</v>
      </c>
      <c r="F72" s="332">
        <f t="shared" si="24"/>
        <v>0.8</v>
      </c>
      <c r="G72" s="335">
        <f t="shared" si="2"/>
        <v>16000</v>
      </c>
      <c r="H72" s="336">
        <v>20000.0</v>
      </c>
      <c r="I72" s="314">
        <f t="shared" si="3"/>
        <v>0.82</v>
      </c>
      <c r="J72" s="288">
        <f t="shared" si="4"/>
        <v>1066.666667</v>
      </c>
      <c r="K72" s="288">
        <f t="shared" si="5"/>
        <v>17274.66667</v>
      </c>
      <c r="L72" s="288">
        <f t="shared" si="15"/>
        <v>440</v>
      </c>
      <c r="M72" s="288">
        <f t="shared" si="6"/>
        <v>7600853.333</v>
      </c>
      <c r="N72" s="289">
        <f t="shared" si="17"/>
        <v>1.333333333</v>
      </c>
      <c r="O72" s="290">
        <f t="shared" si="7"/>
        <v>2.666666667</v>
      </c>
      <c r="P72" s="288">
        <v>1200000.0</v>
      </c>
      <c r="Q72" s="288">
        <f t="shared" si="8"/>
        <v>4800000</v>
      </c>
      <c r="R72" s="288">
        <f>VLOOKUP(A72,Data2023!B$6:F$23,5,0)</f>
        <v>677.5363636</v>
      </c>
      <c r="S72" s="288">
        <f t="shared" si="9"/>
        <v>11704214.84</v>
      </c>
      <c r="T72" s="291">
        <f t="shared" si="10"/>
        <v>24105068.17</v>
      </c>
      <c r="U72" s="288">
        <f t="shared" si="11"/>
        <v>1506.566761</v>
      </c>
      <c r="V72" s="292">
        <f t="shared" si="12"/>
        <v>15.06566761</v>
      </c>
      <c r="W72" s="293">
        <f t="shared" si="13"/>
        <v>31.25</v>
      </c>
      <c r="X72" s="294">
        <f t="shared" si="21"/>
        <v>301.3133521</v>
      </c>
      <c r="Y72" s="295">
        <v>1.0</v>
      </c>
    </row>
    <row r="73" ht="15.75" customHeight="1">
      <c r="A73" s="308" t="s">
        <v>211</v>
      </c>
      <c r="B73" s="334">
        <f t="shared" si="1"/>
        <v>1761.024832</v>
      </c>
      <c r="C73" s="330">
        <f t="shared" ref="C73:F73" si="25">C72</f>
        <v>4</v>
      </c>
      <c r="D73" s="331">
        <f t="shared" si="25"/>
        <v>0</v>
      </c>
      <c r="E73" s="331">
        <f t="shared" si="25"/>
        <v>0</v>
      </c>
      <c r="F73" s="332">
        <f t="shared" si="25"/>
        <v>0.8</v>
      </c>
      <c r="G73" s="335">
        <f t="shared" si="2"/>
        <v>28000</v>
      </c>
      <c r="H73" s="336">
        <v>35000.0</v>
      </c>
      <c r="I73" s="314">
        <f t="shared" si="3"/>
        <v>0.82</v>
      </c>
      <c r="J73" s="288">
        <f t="shared" si="4"/>
        <v>1191.666667</v>
      </c>
      <c r="K73" s="288">
        <f t="shared" si="5"/>
        <v>29677.16667</v>
      </c>
      <c r="L73" s="288">
        <f t="shared" si="15"/>
        <v>440</v>
      </c>
      <c r="M73" s="288">
        <f t="shared" si="6"/>
        <v>13057953.33</v>
      </c>
      <c r="N73" s="289">
        <f t="shared" si="17"/>
        <v>1.333333333</v>
      </c>
      <c r="O73" s="290">
        <f t="shared" si="7"/>
        <v>4.666666667</v>
      </c>
      <c r="P73" s="288">
        <v>1200000.0</v>
      </c>
      <c r="Q73" s="288">
        <f t="shared" si="8"/>
        <v>7200000</v>
      </c>
      <c r="R73" s="288">
        <f>VLOOKUP(A73,Data2023!B$6:F$23,5,0)</f>
        <v>677.5363636</v>
      </c>
      <c r="S73" s="288">
        <f t="shared" si="9"/>
        <v>20107359.59</v>
      </c>
      <c r="T73" s="291">
        <f t="shared" si="10"/>
        <v>40365312.92</v>
      </c>
      <c r="U73" s="288">
        <f t="shared" si="11"/>
        <v>1441.618319</v>
      </c>
      <c r="V73" s="292">
        <f t="shared" si="12"/>
        <v>14.41618319</v>
      </c>
      <c r="W73" s="293">
        <f t="shared" si="13"/>
        <v>16.66666667</v>
      </c>
      <c r="X73" s="294">
        <f t="shared" si="21"/>
        <v>288.3236637</v>
      </c>
      <c r="Y73" s="295">
        <v>1.0</v>
      </c>
    </row>
    <row r="74" ht="15.75" customHeight="1">
      <c r="A74" s="308" t="s">
        <v>211</v>
      </c>
      <c r="B74" s="334">
        <f t="shared" si="1"/>
        <v>1788.825031</v>
      </c>
      <c r="C74" s="330">
        <f t="shared" ref="C74:F74" si="26">C73</f>
        <v>4</v>
      </c>
      <c r="D74" s="331">
        <f t="shared" si="26"/>
        <v>0</v>
      </c>
      <c r="E74" s="331">
        <f t="shared" si="26"/>
        <v>0</v>
      </c>
      <c r="F74" s="332">
        <f t="shared" si="26"/>
        <v>0.8</v>
      </c>
      <c r="G74" s="335">
        <f t="shared" si="2"/>
        <v>40000</v>
      </c>
      <c r="H74" s="336">
        <v>50000.0</v>
      </c>
      <c r="I74" s="314">
        <f t="shared" si="3"/>
        <v>0.82</v>
      </c>
      <c r="J74" s="288">
        <f t="shared" si="4"/>
        <v>1816.666667</v>
      </c>
      <c r="K74" s="288">
        <f t="shared" si="5"/>
        <v>42489.66667</v>
      </c>
      <c r="L74" s="288">
        <f t="shared" si="15"/>
        <v>440</v>
      </c>
      <c r="M74" s="288">
        <f t="shared" si="6"/>
        <v>18695453.33</v>
      </c>
      <c r="N74" s="289">
        <f t="shared" si="17"/>
        <v>1.333333333</v>
      </c>
      <c r="O74" s="290">
        <f t="shared" si="7"/>
        <v>7.916666667</v>
      </c>
      <c r="P74" s="288">
        <v>1200000.0</v>
      </c>
      <c r="Q74" s="288">
        <f t="shared" si="8"/>
        <v>11100000</v>
      </c>
      <c r="R74" s="288">
        <f>VLOOKUP(A74,Data2023!B$6:F$23,5,0)</f>
        <v>677.5363636</v>
      </c>
      <c r="S74" s="288">
        <f t="shared" si="9"/>
        <v>28788294.25</v>
      </c>
      <c r="T74" s="291">
        <f t="shared" si="10"/>
        <v>58583747.58</v>
      </c>
      <c r="U74" s="288">
        <f t="shared" si="11"/>
        <v>1464.593689</v>
      </c>
      <c r="V74" s="292">
        <f t="shared" si="12"/>
        <v>14.64593689</v>
      </c>
      <c r="W74" s="293">
        <f t="shared" si="13"/>
        <v>16.66666667</v>
      </c>
      <c r="X74" s="294">
        <f t="shared" si="21"/>
        <v>292.9187379</v>
      </c>
      <c r="Y74" s="295">
        <v>1.0</v>
      </c>
    </row>
    <row r="75" ht="15.75" customHeight="1">
      <c r="A75" s="308" t="s">
        <v>211</v>
      </c>
      <c r="B75" s="334">
        <f t="shared" si="1"/>
        <v>1771.898468</v>
      </c>
      <c r="C75" s="330">
        <f t="shared" ref="C75:F75" si="27">C74</f>
        <v>4</v>
      </c>
      <c r="D75" s="331">
        <f t="shared" si="27"/>
        <v>0</v>
      </c>
      <c r="E75" s="331">
        <f t="shared" si="27"/>
        <v>0</v>
      </c>
      <c r="F75" s="332">
        <f t="shared" si="27"/>
        <v>0.8</v>
      </c>
      <c r="G75" s="335">
        <f t="shared" si="2"/>
        <v>52000</v>
      </c>
      <c r="H75" s="336">
        <v>65000.0</v>
      </c>
      <c r="I75" s="314">
        <f t="shared" si="3"/>
        <v>0.82</v>
      </c>
      <c r="J75" s="288">
        <f t="shared" si="4"/>
        <v>2091.666667</v>
      </c>
      <c r="K75" s="288">
        <f t="shared" si="5"/>
        <v>55015.16667</v>
      </c>
      <c r="L75" s="288">
        <f t="shared" si="15"/>
        <v>440</v>
      </c>
      <c r="M75" s="288">
        <f t="shared" si="6"/>
        <v>24206673.33</v>
      </c>
      <c r="N75" s="289">
        <f t="shared" si="17"/>
        <v>1.333333333</v>
      </c>
      <c r="O75" s="290">
        <f t="shared" si="7"/>
        <v>10.29166667</v>
      </c>
      <c r="P75" s="288">
        <v>1200000.0</v>
      </c>
      <c r="Q75" s="288">
        <f t="shared" si="8"/>
        <v>13950000</v>
      </c>
      <c r="R75" s="288">
        <f>VLOOKUP(A75,Data2023!B$6:F$23,5,0)</f>
        <v>677.5363636</v>
      </c>
      <c r="S75" s="288">
        <f t="shared" si="9"/>
        <v>37274775.97</v>
      </c>
      <c r="T75" s="291">
        <f t="shared" si="10"/>
        <v>75431449.3</v>
      </c>
      <c r="U75" s="288">
        <f t="shared" si="11"/>
        <v>1450.604794</v>
      </c>
      <c r="V75" s="292">
        <f t="shared" si="12"/>
        <v>14.50604794</v>
      </c>
      <c r="W75" s="293">
        <f t="shared" si="13"/>
        <v>16.66666667</v>
      </c>
      <c r="X75" s="294">
        <f t="shared" si="21"/>
        <v>290.1209589</v>
      </c>
      <c r="Y75" s="295">
        <v>1.0</v>
      </c>
    </row>
    <row r="76" ht="15.75" customHeight="1">
      <c r="A76" s="308" t="s">
        <v>211</v>
      </c>
      <c r="B76" s="334">
        <f t="shared" si="1"/>
        <v>1754.081033</v>
      </c>
      <c r="C76" s="330">
        <f t="shared" ref="C76:F76" si="28">C75</f>
        <v>4</v>
      </c>
      <c r="D76" s="331">
        <f t="shared" si="28"/>
        <v>0</v>
      </c>
      <c r="E76" s="331">
        <f t="shared" si="28"/>
        <v>0</v>
      </c>
      <c r="F76" s="332">
        <f t="shared" si="28"/>
        <v>0.8</v>
      </c>
      <c r="G76" s="335">
        <f t="shared" si="2"/>
        <v>76000</v>
      </c>
      <c r="H76" s="336">
        <v>95000.0</v>
      </c>
      <c r="I76" s="314">
        <f t="shared" si="3"/>
        <v>0.82</v>
      </c>
      <c r="J76" s="288">
        <f t="shared" si="4"/>
        <v>2641.666667</v>
      </c>
      <c r="K76" s="288">
        <f t="shared" si="5"/>
        <v>80066.16667</v>
      </c>
      <c r="L76" s="288">
        <f t="shared" si="15"/>
        <v>440</v>
      </c>
      <c r="M76" s="288">
        <f t="shared" si="6"/>
        <v>35229113.33</v>
      </c>
      <c r="N76" s="289">
        <f t="shared" si="17"/>
        <v>1.333333333</v>
      </c>
      <c r="O76" s="290">
        <f t="shared" si="7"/>
        <v>15.04166667</v>
      </c>
      <c r="P76" s="288">
        <v>1200000.0</v>
      </c>
      <c r="Q76" s="288">
        <f t="shared" si="8"/>
        <v>19650000</v>
      </c>
      <c r="R76" s="288">
        <f>VLOOKUP(A76,Data2023!B$6:F$23,5,0)</f>
        <v>677.5363636</v>
      </c>
      <c r="S76" s="288">
        <f t="shared" si="9"/>
        <v>54247739.41</v>
      </c>
      <c r="T76" s="291">
        <f t="shared" si="10"/>
        <v>109126852.7</v>
      </c>
      <c r="U76" s="288">
        <f t="shared" si="11"/>
        <v>1435.879641</v>
      </c>
      <c r="V76" s="292">
        <f t="shared" si="12"/>
        <v>14.35879641</v>
      </c>
      <c r="W76" s="293">
        <f t="shared" si="13"/>
        <v>16.66666667</v>
      </c>
      <c r="X76" s="294">
        <f t="shared" si="21"/>
        <v>287.1759283</v>
      </c>
      <c r="Y76" s="295">
        <v>1.0</v>
      </c>
    </row>
    <row r="77" ht="15.75" customHeight="1">
      <c r="A77" s="308" t="s">
        <v>211</v>
      </c>
      <c r="B77" s="334">
        <f t="shared" si="1"/>
        <v>1747.367217</v>
      </c>
      <c r="C77" s="330">
        <f t="shared" ref="C77:F77" si="29">C76</f>
        <v>4</v>
      </c>
      <c r="D77" s="331">
        <f t="shared" si="29"/>
        <v>0</v>
      </c>
      <c r="E77" s="331">
        <f t="shared" si="29"/>
        <v>0</v>
      </c>
      <c r="F77" s="332">
        <f t="shared" si="29"/>
        <v>0.8</v>
      </c>
      <c r="G77" s="335">
        <f t="shared" si="2"/>
        <v>92000</v>
      </c>
      <c r="H77" s="336">
        <v>115000.0</v>
      </c>
      <c r="I77" s="314">
        <f t="shared" si="3"/>
        <v>0.82</v>
      </c>
      <c r="J77" s="288">
        <f t="shared" si="4"/>
        <v>3008.333333</v>
      </c>
      <c r="K77" s="288">
        <f t="shared" si="5"/>
        <v>96766.83333</v>
      </c>
      <c r="L77" s="288">
        <f t="shared" si="15"/>
        <v>440</v>
      </c>
      <c r="M77" s="288">
        <f t="shared" si="6"/>
        <v>42577406.67</v>
      </c>
      <c r="N77" s="289">
        <f t="shared" si="17"/>
        <v>1.333333333</v>
      </c>
      <c r="O77" s="290">
        <f t="shared" si="7"/>
        <v>18.20833333</v>
      </c>
      <c r="P77" s="288">
        <v>1200000.0</v>
      </c>
      <c r="Q77" s="288">
        <f t="shared" si="8"/>
        <v>23450000</v>
      </c>
      <c r="R77" s="288">
        <f>VLOOKUP(A77,Data2023!B$6:F$23,5,0)</f>
        <v>677.5363636</v>
      </c>
      <c r="S77" s="288">
        <f t="shared" si="9"/>
        <v>65563048.38</v>
      </c>
      <c r="T77" s="291">
        <f t="shared" si="10"/>
        <v>131590455</v>
      </c>
      <c r="U77" s="288">
        <f t="shared" si="11"/>
        <v>1430.331033</v>
      </c>
      <c r="V77" s="292">
        <f t="shared" si="12"/>
        <v>14.30331033</v>
      </c>
      <c r="W77" s="293">
        <f t="shared" si="13"/>
        <v>16.66666667</v>
      </c>
      <c r="X77" s="294">
        <f t="shared" si="21"/>
        <v>286.0662066</v>
      </c>
      <c r="Y77" s="295">
        <v>1.0</v>
      </c>
    </row>
    <row r="78" ht="15.75" customHeight="1">
      <c r="A78" s="308" t="s">
        <v>211</v>
      </c>
      <c r="B78" s="334">
        <f t="shared" si="1"/>
        <v>2527.635605</v>
      </c>
      <c r="C78" s="330">
        <v>7.0</v>
      </c>
      <c r="D78" s="331">
        <f t="shared" ref="D78:F78" si="30">D77</f>
        <v>0</v>
      </c>
      <c r="E78" s="331">
        <f t="shared" si="30"/>
        <v>0</v>
      </c>
      <c r="F78" s="332">
        <f t="shared" si="30"/>
        <v>0.8</v>
      </c>
      <c r="G78" s="335">
        <f t="shared" si="2"/>
        <v>9600</v>
      </c>
      <c r="H78" s="336">
        <v>12000.0</v>
      </c>
      <c r="I78" s="314">
        <f t="shared" si="3"/>
        <v>0.82</v>
      </c>
      <c r="J78" s="288">
        <f t="shared" si="4"/>
        <v>1900</v>
      </c>
      <c r="K78" s="288">
        <f t="shared" si="5"/>
        <v>11398</v>
      </c>
      <c r="L78" s="288">
        <f t="shared" si="15"/>
        <v>770</v>
      </c>
      <c r="M78" s="288">
        <f t="shared" si="6"/>
        <v>8776460</v>
      </c>
      <c r="N78" s="289">
        <f t="shared" si="17"/>
        <v>2.333333333</v>
      </c>
      <c r="O78" s="290">
        <f t="shared" si="7"/>
        <v>1.6</v>
      </c>
      <c r="P78" s="288">
        <v>1200000.0</v>
      </c>
      <c r="Q78" s="288">
        <f t="shared" si="8"/>
        <v>4720000</v>
      </c>
      <c r="R78" s="288">
        <f>VLOOKUP(A78,Data2023!B$6:F$23,5,0)</f>
        <v>677.5363636</v>
      </c>
      <c r="S78" s="288">
        <f t="shared" si="9"/>
        <v>7722559.473</v>
      </c>
      <c r="T78" s="291">
        <f t="shared" si="10"/>
        <v>21219019.47</v>
      </c>
      <c r="U78" s="288">
        <f t="shared" si="11"/>
        <v>2210.314528</v>
      </c>
      <c r="V78" s="292">
        <f t="shared" si="12"/>
        <v>22.10314528</v>
      </c>
      <c r="W78" s="293">
        <f t="shared" si="13"/>
        <v>52.08333333</v>
      </c>
      <c r="X78" s="294">
        <f t="shared" si="21"/>
        <v>243.1345981</v>
      </c>
      <c r="Y78" s="295">
        <v>1.0</v>
      </c>
    </row>
    <row r="79" ht="15.75" customHeight="1">
      <c r="A79" s="308" t="s">
        <v>211</v>
      </c>
      <c r="B79" s="334">
        <f t="shared" si="1"/>
        <v>2960.767891</v>
      </c>
      <c r="C79" s="330">
        <f t="shared" ref="C79:E79" si="31">C78</f>
        <v>7</v>
      </c>
      <c r="D79" s="331">
        <f t="shared" si="31"/>
        <v>0</v>
      </c>
      <c r="E79" s="331">
        <f t="shared" si="31"/>
        <v>0</v>
      </c>
      <c r="F79" s="332">
        <v>0.48</v>
      </c>
      <c r="G79" s="335">
        <f t="shared" si="2"/>
        <v>5760</v>
      </c>
      <c r="H79" s="336">
        <v>12000.0</v>
      </c>
      <c r="I79" s="314">
        <f t="shared" si="3"/>
        <v>0.5</v>
      </c>
      <c r="J79" s="288">
        <f t="shared" si="4"/>
        <v>1900</v>
      </c>
      <c r="K79" s="288">
        <f t="shared" si="5"/>
        <v>6950</v>
      </c>
      <c r="L79" s="288">
        <f t="shared" si="15"/>
        <v>770</v>
      </c>
      <c r="M79" s="288">
        <f t="shared" si="6"/>
        <v>5351500</v>
      </c>
      <c r="N79" s="289">
        <f t="shared" si="17"/>
        <v>2.333333333</v>
      </c>
      <c r="O79" s="290">
        <f t="shared" si="7"/>
        <v>1.6</v>
      </c>
      <c r="P79" s="288">
        <v>1200000.0</v>
      </c>
      <c r="Q79" s="288">
        <f t="shared" si="8"/>
        <v>4720000</v>
      </c>
      <c r="R79" s="288">
        <f>VLOOKUP(A79,Data2023!B$6:F$23,5,0)</f>
        <v>677.5363636</v>
      </c>
      <c r="S79" s="288">
        <f t="shared" si="9"/>
        <v>4708877.727</v>
      </c>
      <c r="T79" s="291">
        <f t="shared" si="10"/>
        <v>14780377.73</v>
      </c>
      <c r="U79" s="288">
        <f t="shared" si="11"/>
        <v>2566.0378</v>
      </c>
      <c r="V79" s="292">
        <f t="shared" si="12"/>
        <v>25.660378</v>
      </c>
      <c r="W79" s="293">
        <f t="shared" si="13"/>
        <v>86.80555556</v>
      </c>
      <c r="X79" s="294">
        <f t="shared" si="21"/>
        <v>282.264158</v>
      </c>
      <c r="Y79" s="295">
        <v>1.0</v>
      </c>
    </row>
    <row r="80" ht="15.75" customHeight="1">
      <c r="A80" s="308" t="s">
        <v>34</v>
      </c>
      <c r="B80" s="334">
        <f t="shared" si="1"/>
        <v>3638.523573</v>
      </c>
      <c r="C80" s="330">
        <v>7.0</v>
      </c>
      <c r="D80" s="331">
        <f t="shared" ref="D80:D81" si="32">D79</f>
        <v>0</v>
      </c>
      <c r="E80" s="331">
        <v>200.0</v>
      </c>
      <c r="F80" s="332">
        <v>0.62</v>
      </c>
      <c r="G80" s="335">
        <f t="shared" si="2"/>
        <v>9749.5</v>
      </c>
      <c r="H80" s="336">
        <v>15725.0</v>
      </c>
      <c r="I80" s="314">
        <f t="shared" si="3"/>
        <v>0.64</v>
      </c>
      <c r="J80" s="288">
        <f t="shared" si="4"/>
        <v>1931.041667</v>
      </c>
      <c r="K80" s="288">
        <f t="shared" si="5"/>
        <v>11299.86667</v>
      </c>
      <c r="L80" s="288">
        <f t="shared" si="15"/>
        <v>1075</v>
      </c>
      <c r="M80" s="288">
        <f t="shared" si="6"/>
        <v>12147356.67</v>
      </c>
      <c r="N80" s="289">
        <f t="shared" si="17"/>
        <v>2.333333333</v>
      </c>
      <c r="O80" s="290">
        <f t="shared" si="7"/>
        <v>2.096666667</v>
      </c>
      <c r="P80" s="288">
        <v>1200000.0</v>
      </c>
      <c r="Q80" s="288">
        <f t="shared" si="8"/>
        <v>5316000</v>
      </c>
      <c r="R80" s="288">
        <f>VLOOKUP(A80,Data2023!B$6:F$23,5,0)</f>
        <v>1218</v>
      </c>
      <c r="S80" s="288">
        <f t="shared" si="9"/>
        <v>13763237.6</v>
      </c>
      <c r="T80" s="291">
        <f t="shared" si="10"/>
        <v>31226594.27</v>
      </c>
      <c r="U80" s="288">
        <f t="shared" si="11"/>
        <v>3202.891868</v>
      </c>
      <c r="V80" s="292">
        <f t="shared" si="12"/>
        <v>32.02891868</v>
      </c>
      <c r="W80" s="293">
        <f t="shared" si="13"/>
        <v>51.28468127</v>
      </c>
      <c r="X80" s="294">
        <f t="shared" si="21"/>
        <v>352.3181055</v>
      </c>
      <c r="Y80" s="295">
        <v>1.0</v>
      </c>
    </row>
    <row r="81" ht="15.75" customHeight="1">
      <c r="A81" s="308" t="s">
        <v>30</v>
      </c>
      <c r="B81" s="334">
        <f t="shared" si="1"/>
        <v>2453.553232</v>
      </c>
      <c r="C81" s="330">
        <v>7.0</v>
      </c>
      <c r="D81" s="331">
        <f t="shared" si="32"/>
        <v>0</v>
      </c>
      <c r="E81" s="331">
        <v>200.0</v>
      </c>
      <c r="F81" s="332">
        <v>0.62</v>
      </c>
      <c r="G81" s="335">
        <f t="shared" si="2"/>
        <v>34224</v>
      </c>
      <c r="H81" s="336">
        <v>55200.0</v>
      </c>
      <c r="I81" s="314">
        <f t="shared" si="3"/>
        <v>0.64</v>
      </c>
      <c r="J81" s="288">
        <f t="shared" si="4"/>
        <v>2812</v>
      </c>
      <c r="K81" s="288">
        <f t="shared" si="5"/>
        <v>37127.68</v>
      </c>
      <c r="L81" s="288">
        <f t="shared" si="15"/>
        <v>1075</v>
      </c>
      <c r="M81" s="288">
        <f t="shared" si="6"/>
        <v>39912256</v>
      </c>
      <c r="N81" s="289">
        <f t="shared" si="17"/>
        <v>2.333333333</v>
      </c>
      <c r="O81" s="290">
        <f t="shared" si="7"/>
        <v>8.74</v>
      </c>
      <c r="P81" s="288">
        <v>1200000.0</v>
      </c>
      <c r="Q81" s="288">
        <f t="shared" si="8"/>
        <v>13288000</v>
      </c>
      <c r="R81" s="288">
        <f>VLOOKUP(A81,Data2023!B$6:F$23,5,0)</f>
        <v>572.7272727</v>
      </c>
      <c r="S81" s="288">
        <f t="shared" si="9"/>
        <v>21264034.91</v>
      </c>
      <c r="T81" s="291">
        <f t="shared" si="10"/>
        <v>74464290.91</v>
      </c>
      <c r="U81" s="288">
        <f t="shared" si="11"/>
        <v>2175.791576</v>
      </c>
      <c r="V81" s="292">
        <f t="shared" si="12"/>
        <v>21.75791576</v>
      </c>
      <c r="W81" s="293">
        <f t="shared" si="13"/>
        <v>16.66666667</v>
      </c>
      <c r="X81" s="294">
        <f t="shared" si="21"/>
        <v>239.3370734</v>
      </c>
      <c r="Y81" s="295">
        <v>1.0</v>
      </c>
    </row>
    <row r="82" ht="15.75" customHeight="1"/>
    <row r="83" ht="15.75" customHeight="1"/>
    <row r="84" ht="15.75" customHeight="1">
      <c r="G84" s="1" t="s">
        <v>212</v>
      </c>
    </row>
    <row r="85" ht="15.75" customHeight="1">
      <c r="G85" s="337">
        <v>44974.0</v>
      </c>
    </row>
    <row r="86" ht="15.75" customHeight="1">
      <c r="G86" s="338" t="s">
        <v>213</v>
      </c>
      <c r="H86" s="339"/>
      <c r="I86" s="340" t="s">
        <v>214</v>
      </c>
      <c r="J86" s="341"/>
      <c r="K86" s="341"/>
      <c r="L86" s="341"/>
      <c r="M86" s="22"/>
      <c r="N86" s="342"/>
      <c r="O86" s="340" t="s">
        <v>215</v>
      </c>
      <c r="P86" s="341"/>
      <c r="Q86" s="341"/>
      <c r="R86" s="341"/>
      <c r="S86" s="22"/>
    </row>
    <row r="87" ht="15.75" customHeight="1">
      <c r="G87" s="343"/>
      <c r="H87" s="344"/>
      <c r="I87" s="345" t="s">
        <v>216</v>
      </c>
      <c r="J87" s="341"/>
      <c r="K87" s="341"/>
      <c r="L87" s="341"/>
      <c r="M87" s="22"/>
      <c r="N87" s="251"/>
      <c r="O87" s="345" t="s">
        <v>216</v>
      </c>
      <c r="P87" s="341"/>
      <c r="Q87" s="341"/>
      <c r="R87" s="341"/>
      <c r="S87" s="22"/>
    </row>
    <row r="88" ht="15.75" customHeight="1">
      <c r="G88" s="346" t="s">
        <v>217</v>
      </c>
      <c r="H88" s="22"/>
      <c r="I88" s="347">
        <v>4.0</v>
      </c>
      <c r="J88" s="347">
        <v>5.0</v>
      </c>
      <c r="K88" s="347">
        <v>6.0</v>
      </c>
      <c r="L88" s="347">
        <v>7.0</v>
      </c>
      <c r="M88" s="347">
        <v>8.0</v>
      </c>
      <c r="N88" s="348"/>
      <c r="O88" s="347">
        <v>4.0</v>
      </c>
      <c r="P88" s="347">
        <v>5.0</v>
      </c>
      <c r="Q88" s="347">
        <v>6.0</v>
      </c>
      <c r="R88" s="347">
        <v>7.0</v>
      </c>
      <c r="S88" s="347">
        <v>8.0</v>
      </c>
    </row>
    <row r="89" ht="15.75" customHeight="1">
      <c r="G89" s="286">
        <v>3000.0</v>
      </c>
      <c r="H89" s="286">
        <v>5000.0</v>
      </c>
      <c r="I89" s="349">
        <v>3245.7472118055557</v>
      </c>
      <c r="J89" s="350">
        <v>3779.9545986111116</v>
      </c>
      <c r="K89" s="350">
        <v>4280.429171527778</v>
      </c>
      <c r="L89" s="350">
        <v>4895.278855555555</v>
      </c>
      <c r="M89" s="350">
        <v>5406.5641444444445</v>
      </c>
      <c r="N89" s="351"/>
      <c r="O89" s="352">
        <v>2757.6471433823526</v>
      </c>
      <c r="P89" s="353">
        <v>3217.9689446078432</v>
      </c>
      <c r="Q89" s="353">
        <v>3646.1429997549017</v>
      </c>
      <c r="R89" s="353">
        <v>4188.872035294118</v>
      </c>
      <c r="S89" s="353">
        <v>4624.465180392157</v>
      </c>
    </row>
    <row r="90" ht="15.75" customHeight="1">
      <c r="G90" s="286">
        <v>5001.0</v>
      </c>
      <c r="H90" s="286">
        <v>8000.0</v>
      </c>
      <c r="I90" s="349">
        <v>2575.411161805556</v>
      </c>
      <c r="J90" s="350">
        <v>2942.7389808333337</v>
      </c>
      <c r="K90" s="350">
        <v>3288.9102004166666</v>
      </c>
      <c r="L90" s="350">
        <v>3702.789575555556</v>
      </c>
      <c r="M90" s="350">
        <v>4060.9077711111113</v>
      </c>
      <c r="N90" s="351"/>
      <c r="O90" s="352">
        <v>2241.6786080882353</v>
      </c>
      <c r="P90" s="353">
        <v>2564.5346261764707</v>
      </c>
      <c r="Q90" s="353">
        <v>2867.193784852941</v>
      </c>
      <c r="R90" s="353">
        <v>3237.67772</v>
      </c>
      <c r="S90" s="353">
        <v>3549.8934658823528</v>
      </c>
    </row>
    <row r="91" ht="15.75" customHeight="1">
      <c r="G91" s="286">
        <v>8001.0</v>
      </c>
      <c r="H91" s="286">
        <v>11000.0</v>
      </c>
      <c r="I91" s="349">
        <v>2198.3471336805555</v>
      </c>
      <c r="J91" s="350">
        <v>2471.805195833333</v>
      </c>
      <c r="K91" s="350">
        <v>2731.180779166667</v>
      </c>
      <c r="L91" s="350">
        <v>3032.014355555555</v>
      </c>
      <c r="M91" s="350">
        <v>3303.976061111111</v>
      </c>
      <c r="N91" s="351"/>
      <c r="O91" s="352">
        <v>1951.4463069852939</v>
      </c>
      <c r="P91" s="353">
        <v>2196.977822058823</v>
      </c>
      <c r="Q91" s="353">
        <v>2429.0348514705884</v>
      </c>
      <c r="R91" s="353">
        <v>2702.630917647059</v>
      </c>
      <c r="S91" s="353">
        <v>2945.4468764705884</v>
      </c>
    </row>
    <row r="92" ht="15.75" customHeight="1">
      <c r="G92" s="286">
        <v>11001.0</v>
      </c>
      <c r="H92" s="286">
        <v>20000.0</v>
      </c>
      <c r="I92" s="349">
        <v>2026.9543936237374</v>
      </c>
      <c r="J92" s="350">
        <v>2257.744384469697</v>
      </c>
      <c r="K92" s="350">
        <v>2477.667405871212</v>
      </c>
      <c r="L92" s="350">
        <v>2727.1165282828283</v>
      </c>
      <c r="M92" s="350">
        <v>2959.9161929292927</v>
      </c>
      <c r="N92" s="351"/>
      <c r="O92" s="352">
        <v>1819.5225337566847</v>
      </c>
      <c r="P92" s="353">
        <v>2029.906547459893</v>
      </c>
      <c r="Q92" s="353">
        <v>2229.871699933155</v>
      </c>
      <c r="R92" s="353">
        <v>2459.4278256684493</v>
      </c>
      <c r="S92" s="353">
        <v>2670.698426737968</v>
      </c>
    </row>
    <row r="93" ht="15.75" customHeight="1">
      <c r="G93" s="286">
        <v>20001.0</v>
      </c>
      <c r="H93" s="286">
        <v>35000.0</v>
      </c>
      <c r="I93" s="349">
        <v>1821.2831055555557</v>
      </c>
      <c r="J93" s="350">
        <v>2000.8714108333334</v>
      </c>
      <c r="K93" s="350">
        <v>2173.451357916667</v>
      </c>
      <c r="L93" s="350">
        <v>2361.2391355555555</v>
      </c>
      <c r="M93" s="350">
        <v>2547.0443511111116</v>
      </c>
      <c r="N93" s="351"/>
      <c r="O93" s="352">
        <v>1661.214005882353</v>
      </c>
      <c r="P93" s="353">
        <v>1829.4210179411764</v>
      </c>
      <c r="Q93" s="353">
        <v>1990.8759180882353</v>
      </c>
      <c r="R93" s="353">
        <v>2167.5841152941175</v>
      </c>
      <c r="S93" s="353">
        <v>2341.0002870588237</v>
      </c>
    </row>
    <row r="94" ht="15.75" customHeight="1">
      <c r="G94" s="286">
        <v>35001.0</v>
      </c>
      <c r="H94" s="286">
        <v>51000.0</v>
      </c>
      <c r="I94" s="349">
        <v>1713.5505260912698</v>
      </c>
      <c r="J94" s="350">
        <v>1866.3189008333331</v>
      </c>
      <c r="K94" s="350">
        <v>2014.1000947023808</v>
      </c>
      <c r="L94" s="350">
        <v>2169.5890726984126</v>
      </c>
      <c r="M94" s="350">
        <v>2330.778148253968</v>
      </c>
      <c r="N94" s="351"/>
      <c r="O94" s="352">
        <v>1578.1504352591035</v>
      </c>
      <c r="P94" s="353">
        <v>1724.264732170868</v>
      </c>
      <c r="Q94" s="353">
        <v>1865.547595385154</v>
      </c>
      <c r="R94" s="353">
        <v>2014.5735443137255</v>
      </c>
      <c r="S94" s="353">
        <v>2168.1612054901957</v>
      </c>
    </row>
    <row r="95" ht="15.75" customHeight="1">
      <c r="G95" s="286">
        <v>51001.0</v>
      </c>
      <c r="H95" s="286">
        <v>66000.0</v>
      </c>
      <c r="I95" s="349">
        <v>1740.4854984722222</v>
      </c>
      <c r="J95" s="350">
        <v>1883.2127618333332</v>
      </c>
      <c r="K95" s="350">
        <v>2021.7385819166666</v>
      </c>
      <c r="L95" s="350">
        <v>2164.949434222222</v>
      </c>
      <c r="M95" s="350">
        <v>2317.565120444444</v>
      </c>
      <c r="N95" s="351"/>
      <c r="O95" s="352">
        <v>1603.0204241666665</v>
      </c>
      <c r="P95" s="353">
        <v>1741.120294137255</v>
      </c>
      <c r="Q95" s="353">
        <v>1875.1344840490196</v>
      </c>
      <c r="R95" s="353">
        <v>2013.865157490196</v>
      </c>
      <c r="S95" s="353">
        <v>2160.7824026666667</v>
      </c>
    </row>
    <row r="96" ht="15.75" customHeight="1">
      <c r="G96" s="286">
        <v>66001.0</v>
      </c>
      <c r="H96" s="286">
        <v>97000.0</v>
      </c>
      <c r="I96" s="349">
        <v>1721.1277121260687</v>
      </c>
      <c r="J96" s="350">
        <v>1858.0783750641026</v>
      </c>
      <c r="K96" s="350">
        <v>1991.262925224359</v>
      </c>
      <c r="L96" s="350">
        <v>2127.517112991453</v>
      </c>
      <c r="M96" s="350">
        <v>2274.8308613675217</v>
      </c>
      <c r="N96" s="351"/>
      <c r="O96" s="352">
        <v>1587.8749069947212</v>
      </c>
      <c r="P96" s="353">
        <v>1721.2163460105585</v>
      </c>
      <c r="Q96" s="353">
        <v>1850.8857895060332</v>
      </c>
      <c r="R96" s="353">
        <v>1983.6541325490196</v>
      </c>
      <c r="S96" s="353">
        <v>2126.3006215987934</v>
      </c>
    </row>
    <row r="97" ht="15.75" customHeight="1">
      <c r="G97" s="286">
        <v>97001.0</v>
      </c>
      <c r="H97" s="286">
        <v>117000.0</v>
      </c>
      <c r="I97" s="349">
        <v>1700.7510949195907</v>
      </c>
      <c r="J97" s="350">
        <v>1831.6211258333335</v>
      </c>
      <c r="K97" s="350">
        <v>1959.1832866008772</v>
      </c>
      <c r="L97" s="350">
        <v>2088.1146695906436</v>
      </c>
      <c r="M97" s="350">
        <v>2229.847430760234</v>
      </c>
      <c r="N97" s="351"/>
      <c r="O97" s="352">
        <v>1571.9322573400414</v>
      </c>
      <c r="P97" s="353">
        <v>1700.2648216666666</v>
      </c>
      <c r="Q97" s="353">
        <v>1825.360847881837</v>
      </c>
      <c r="R97" s="353">
        <v>1951.8530536635706</v>
      </c>
      <c r="S97" s="353">
        <v>2090.0040099484004</v>
      </c>
    </row>
    <row r="98" ht="15.75" customHeight="1">
      <c r="G98" s="286">
        <v>117001.0</v>
      </c>
      <c r="H98" s="286">
        <v>137000.0</v>
      </c>
      <c r="I98" s="349">
        <v>1693.0729493055555</v>
      </c>
      <c r="J98" s="350">
        <v>1821.6517275724636</v>
      </c>
      <c r="K98" s="350">
        <v>1947.0953068297101</v>
      </c>
      <c r="L98" s="350">
        <v>2073.2673720772946</v>
      </c>
      <c r="M98" s="350">
        <v>2212.8971525603865</v>
      </c>
      <c r="N98" s="351"/>
      <c r="O98" s="352">
        <v>1565.9248821078434</v>
      </c>
      <c r="P98" s="353">
        <v>1692.370044377664</v>
      </c>
      <c r="Q98" s="353">
        <v>1815.7427539364876</v>
      </c>
      <c r="R98" s="353">
        <v>1939.8700384313724</v>
      </c>
      <c r="S98" s="353">
        <v>2076.327025848252</v>
      </c>
    </row>
    <row r="99" ht="15.75" customHeight="1">
      <c r="G99" s="286">
        <v>137001.0</v>
      </c>
      <c r="H99" s="286">
        <v>199000.0</v>
      </c>
      <c r="I99" s="349">
        <v>1687.6698097993826</v>
      </c>
      <c r="J99" s="350">
        <v>1814.6362250925924</v>
      </c>
      <c r="K99" s="350">
        <v>1938.5889506944445</v>
      </c>
      <c r="L99" s="350">
        <v>2062.8192738271605</v>
      </c>
      <c r="M99" s="350">
        <v>2200.9691790123456</v>
      </c>
      <c r="N99" s="351"/>
      <c r="O99" s="352">
        <v>1561.6974699074074</v>
      </c>
      <c r="P99" s="353">
        <v>1686.8144603594772</v>
      </c>
      <c r="Q99" s="353">
        <v>1808.9744656045752</v>
      </c>
      <c r="R99" s="353">
        <v>1931.437546230937</v>
      </c>
      <c r="S99" s="353">
        <v>2066.7024814814813</v>
      </c>
    </row>
    <row r="100" ht="15.75" customHeight="1">
      <c r="G100" s="286">
        <v>199001.0</v>
      </c>
      <c r="H100" s="286">
        <v>270000.0</v>
      </c>
      <c r="I100" s="349">
        <v>1682.8154266493057</v>
      </c>
      <c r="J100" s="350">
        <v>1808.3332345833337</v>
      </c>
      <c r="K100" s="350">
        <v>1930.9465213541666</v>
      </c>
      <c r="L100" s="350">
        <v>2053.432310555556</v>
      </c>
      <c r="M100" s="350">
        <v>2190.252640277778</v>
      </c>
      <c r="N100" s="351"/>
      <c r="O100" s="352">
        <v>1557.8994042585784</v>
      </c>
      <c r="P100" s="353">
        <v>1681.8231153431375</v>
      </c>
      <c r="Q100" s="353">
        <v>1802.8935815563725</v>
      </c>
      <c r="R100" s="353">
        <v>1923.8614790196077</v>
      </c>
      <c r="S100" s="353">
        <v>2058.055429901961</v>
      </c>
    </row>
    <row r="101" ht="15.75" customHeight="1">
      <c r="G101" s="1" t="s">
        <v>218</v>
      </c>
    </row>
    <row r="102" ht="15.75" customHeight="1">
      <c r="G102" s="1" t="s">
        <v>219</v>
      </c>
    </row>
    <row r="103" ht="15.75" customHeight="1">
      <c r="G103" s="1" t="s">
        <v>220</v>
      </c>
    </row>
    <row r="104" ht="15.75" customHeight="1">
      <c r="G104" s="1" t="s">
        <v>221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A6"/>
    <mergeCell ref="G86:H87"/>
    <mergeCell ref="I86:M86"/>
    <mergeCell ref="O86:S86"/>
    <mergeCell ref="I87:M87"/>
    <mergeCell ref="O87:S87"/>
    <mergeCell ref="G88:H88"/>
  </mergeCells>
  <conditionalFormatting sqref="A5 A7:A81">
    <cfRule type="notContainsBlanks" dxfId="0" priority="1">
      <formula>LEN(TRIM(A5))&gt;0</formula>
    </cfRule>
  </conditionalFormatting>
  <dataValidations>
    <dataValidation type="list" allowBlank="1" showErrorMessage="1" sqref="A79">
      <formula1>"BOPP 18 mic,PET,PA,Matt BOPP 20mic"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